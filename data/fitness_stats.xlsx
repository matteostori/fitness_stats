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drigonigroup-my.sharepoint.com/personal/matteo_stori_fedrigoni_com/Documents/Documents/99. Workspaces/eclipse-workspace/fitness_stats/data/"/>
    </mc:Choice>
  </mc:AlternateContent>
  <xr:revisionPtr revIDLastSave="2995" documentId="13_ncr:1_{B553671A-B275-47B2-9845-BC0F12C1290D}" xr6:coauthVersionLast="47" xr6:coauthVersionMax="47" xr10:uidLastSave="{022FF1D1-5F79-4D2D-B213-E112C71C6E07}"/>
  <bookViews>
    <workbookView xWindow="-108" yWindow="-108" windowWidth="23256" windowHeight="14016" activeTab="1" xr2:uid="{B7E11E8D-C27E-458E-A60B-3A037DE09D8F}"/>
  </bookViews>
  <sheets>
    <sheet name="Full Calendar Log" sheetId="7" r:id="rId1"/>
    <sheet name="Weekly Calendar summary" sheetId="10" r:id="rId2"/>
  </sheets>
  <definedNames>
    <definedName name="_xlnm._FilterDatabase" localSheetId="0" hidden="1">'Full Calendar Log'!$A$1:$Z$10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7" l="1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P5" i="7"/>
</calcChain>
</file>

<file path=xl/sharedStrings.xml><?xml version="1.0" encoding="utf-8"?>
<sst xmlns="http://schemas.openxmlformats.org/spreadsheetml/2006/main" count="358" uniqueCount="168">
  <si>
    <t>Date</t>
  </si>
  <si>
    <t>Squat</t>
  </si>
  <si>
    <t>Deadlift</t>
  </si>
  <si>
    <t>Barbell lounges</t>
  </si>
  <si>
    <t>Overhead press</t>
  </si>
  <si>
    <t>Dips</t>
  </si>
  <si>
    <t>Pull-ups</t>
  </si>
  <si>
    <t>Side bridges</t>
  </si>
  <si>
    <t>Resting energy kcal</t>
  </si>
  <si>
    <t>Group</t>
  </si>
  <si>
    <t>Exercise</t>
  </si>
  <si>
    <t>Leg</t>
  </si>
  <si>
    <t>Hockey Barbell lounges</t>
  </si>
  <si>
    <t>Main</t>
  </si>
  <si>
    <t>Accessory</t>
  </si>
  <si>
    <t>Chest</t>
  </si>
  <si>
    <t>Back</t>
  </si>
  <si>
    <t>Where</t>
  </si>
  <si>
    <t>Home</t>
  </si>
  <si>
    <t>Core</t>
  </si>
  <si>
    <t>Shoulders</t>
  </si>
  <si>
    <t>Dumbell row</t>
  </si>
  <si>
    <t>Biceps</t>
  </si>
  <si>
    <t>Leg raise</t>
  </si>
  <si>
    <t>Week</t>
  </si>
  <si>
    <t>Cycle</t>
  </si>
  <si>
    <t>Total</t>
  </si>
  <si>
    <t>Intermediate set Series</t>
  </si>
  <si>
    <t>Intermediate set Reps</t>
  </si>
  <si>
    <t>Intermediate set kg</t>
  </si>
  <si>
    <t>Heavy set Series</t>
  </si>
  <si>
    <t>Heavy set Reps</t>
  </si>
  <si>
    <t>Heavy set kg</t>
  </si>
  <si>
    <t>Warm up set Series</t>
  </si>
  <si>
    <t>Warm up set Reps</t>
  </si>
  <si>
    <t>Warm up set kg</t>
  </si>
  <si>
    <t>Volume set Series</t>
  </si>
  <si>
    <t>Volume set Reps</t>
  </si>
  <si>
    <t>Volume set kg</t>
  </si>
  <si>
    <t>Notes</t>
  </si>
  <si>
    <t>Day</t>
  </si>
  <si>
    <t>1, 3</t>
  </si>
  <si>
    <t>1, 2, 3</t>
  </si>
  <si>
    <t>Type</t>
  </si>
  <si>
    <t>1, 2</t>
  </si>
  <si>
    <t>Totals kg</t>
  </si>
  <si>
    <t>Weight avg kg</t>
  </si>
  <si>
    <t>kcals daily avg</t>
  </si>
  <si>
    <t>Proteins daily avg</t>
  </si>
  <si>
    <t>Projected weight kg</t>
  </si>
  <si>
    <t>Active energy kcal</t>
  </si>
  <si>
    <t>Weight</t>
  </si>
  <si>
    <t>Year</t>
  </si>
  <si>
    <t>Yearweek</t>
  </si>
  <si>
    <t>Maintenance</t>
  </si>
  <si>
    <t>Ulignano</t>
  </si>
  <si>
    <t>Explosive 1 leg</t>
  </si>
  <si>
    <t>Hip thrust</t>
  </si>
  <si>
    <t>Calf</t>
  </si>
  <si>
    <t>Upper body</t>
  </si>
  <si>
    <t>Pushups strict</t>
  </si>
  <si>
    <t>Pushups TRX single arm</t>
  </si>
  <si>
    <t>Tríceps</t>
  </si>
  <si>
    <t>Skull crasher TRX</t>
  </si>
  <si>
    <t>Bíceps</t>
  </si>
  <si>
    <t>TRX reverse single arm</t>
  </si>
  <si>
    <t>Dumbell lateralraise</t>
  </si>
  <si>
    <t>Rings iron cross attemps</t>
  </si>
  <si>
    <t>Rings support</t>
  </si>
  <si>
    <t>Skin the cat</t>
  </si>
  <si>
    <t>Leg day</t>
  </si>
  <si>
    <t>Mins run</t>
  </si>
  <si>
    <t>km run</t>
  </si>
  <si>
    <t>Min total</t>
  </si>
  <si>
    <t>Duration mins</t>
  </si>
  <si>
    <t>Mins gym</t>
  </si>
  <si>
    <t>Weekly total cal surplus (deficit)</t>
  </si>
  <si>
    <t>Hours total</t>
  </si>
  <si>
    <t>TRX inclined pullup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</si>
  <si>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</si>
  <si>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</si>
  <si>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</si>
  <si>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</si>
  <si>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</si>
  <si>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</si>
  <si>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</si>
  <si>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</si>
  <si>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</si>
  <si>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</si>
  <si>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</si>
  <si>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</si>
  <si>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</si>
  <si>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</si>
  <si>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</si>
  <si>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</si>
  <si>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</si>
  <si>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</si>
  <si>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</si>
  <si>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</si>
  <si>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202453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</si>
  <si>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</si>
  <si>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</si>
  <si>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</si>
  <si>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</si>
  <si>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</si>
  <si>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</si>
  <si>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</si>
  <si>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</si>
  <si>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</si>
  <si>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202510</t>
  </si>
  <si>
    <t>202511</t>
  </si>
  <si>
    <t>202512</t>
  </si>
  <si>
    <t>202513</t>
  </si>
  <si>
    <t>202514</t>
  </si>
  <si>
    <t>202515</t>
  </si>
  <si>
    <t>202516</t>
  </si>
  <si>
    <t>202517</t>
  </si>
  <si>
    <t>202518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</si>
  <si>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</si>
  <si>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</si>
  <si>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</si>
  <si>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</si>
  <si>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</si>
  <si>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</si>
  <si>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</si>
  <si>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</si>
  <si>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</si>
  <si>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</si>
  <si>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</si>
  <si>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</si>
  <si>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</si>
  <si>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</si>
  <si>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</si>
  <si>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</si>
  <si>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</si>
  <si>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</si>
  <si>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</si>
  <si>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202538</t>
  </si>
  <si>
    <t>202539</t>
  </si>
  <si>
    <t>202540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</si>
  <si>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</si>
  <si>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</si>
  <si>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</si>
  <si>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</si>
  <si>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</si>
  <si>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</si>
  <si>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</si>
  <si>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</si>
  <si>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</si>
  <si>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</si>
  <si>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</si>
  <si>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</si>
  <si>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</si>
  <si>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20261</t>
  </si>
  <si>
    <t>20262</t>
  </si>
  <si>
    <t/>
  </si>
  <si>
    <t>Leg kg</t>
  </si>
  <si>
    <t>Chest kg</t>
  </si>
  <si>
    <t>Back kg</t>
  </si>
  <si>
    <t>Shoulders kg</t>
  </si>
  <si>
    <t>Biceps kg</t>
  </si>
  <si>
    <t>Core sets</t>
  </si>
  <si>
    <t>Leg sets</t>
  </si>
  <si>
    <t>Chest sets</t>
  </si>
  <si>
    <t>Back sets</t>
  </si>
  <si>
    <t>Shoulders sets</t>
  </si>
  <si>
    <t>Biceps sets</t>
  </si>
  <si>
    <t>Core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</si>
</sst>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1"/>
      <name val="Arial"/>
      <family val="2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rgb="FF000000"/>
      <name val="Aptos Narrow"/>
      <family val="2"/>
    </font>
    <font>
      <sz val="11"/>
      <color rgb="FF0070C0"/>
      <name val="Arial"/>
      <family val="2"/>
    </font>
    <font>
      <sz val="11"/>
      <color rgb="FF0070C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4" fontId="0" fillId="0" borderId="0" xfId="0" applyNumberFormat="1"/>
    <xf numFmtId="14" fontId="0" fillId="0" borderId="0" xfId="0" applyNumberFormat="1"/>
    <xf numFmtId="0" fontId="3" fillId="0" borderId="1" xfId="0" applyFont="1" applyBorder="1" applyAlignment="1">
      <alignment wrapText="1"/>
    </xf>
    <xf numFmtId="3" fontId="0" fillId="0" borderId="0" xfId="0" applyNumberForma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/>
    </xf>
    <xf numFmtId="3" fontId="0" fillId="0" borderId="0" xfId="0" applyNumberFormat="1" applyAlignment="1">
      <alignment horizontal="right" vertical="center"/>
    </xf>
    <xf numFmtId="0" fontId="6" fillId="2" borderId="1" xfId="0" applyFont="1" applyFill="1" applyBorder="1"/>
    <xf numFmtId="0" fontId="7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14" fontId="12" fillId="2" borderId="1" xfId="0" applyNumberFormat="1" applyFont="1" applyFill="1" applyBorder="1" applyAlignment="1">
      <alignment horizontal="right"/>
    </xf>
    <xf numFmtId="0" fontId="12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6" fillId="0" borderId="1" xfId="0" applyFont="1" applyBorder="1"/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1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7" fillId="0" borderId="1" xfId="0" applyFont="1" applyBorder="1"/>
    <xf numFmtId="14" fontId="11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right"/>
    </xf>
    <xf numFmtId="14" fontId="1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2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4" fontId="4" fillId="0" borderId="0" xfId="0" applyNumberFormat="1" applyFont="1" applyAlignment="1">
      <alignment horizontal="right"/>
    </xf>
  </cellXfs>
  <cellStyles count="1">
    <cellStyle name="Normal" xfId="0" builtinId="0"/>
  </cellStyles>
  <dxfs count="24"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467B26-B2CD-4C27-87D3-437C951E7195}" name="Table2" displayName="Table2" ref="A1:AB127" totalsRowShown="0" headerRowDxfId="23" dataDxfId="22">
  <autoFilter ref="A1:AB127" xr:uid="{75467B26-B2CD-4C27-87D3-437C951E7195}"/>
  <tableColumns count="28">
    <tableColumn id="1" xr3:uid="{00272CB7-C99B-495B-BCF3-22DB60ED0FF3}" name="Year"/>
    <tableColumn id="2" xr3:uid="{B6F6A23D-7A1C-4FC7-99FC-ADB73B3F0569}" name="Week"/>
    <tableColumn id="3" xr3:uid="{274B4700-24AE-481D-9987-36DEC8C7DAB4}" name="Yearweek"/>
    <tableColumn id="4" xr3:uid="{807F6D1A-BCF6-4E8E-AB80-A63A81157763}" name="Weight avg kg" dataDxfId="21">
      <calculatedColumnFormula>IFERROR(AVERAGEIFS(#REF!,#REF!,'Weekly Calendar summary'!C2,#REF!,"&lt;&gt;"),"N/A")</calculatedColumnFormula>
    </tableColumn>
    <tableColumn id="26" xr3:uid="{DA97AAF9-A742-47D4-8714-D332A1BB8BF9}" name="Mins gym" dataDxfId="20">
      <calculatedColumnFormula>SUMIF(#REF!,Table2[[#This Row],[Yearweek]],#REF!)</calculatedColumnFormula>
    </tableColumn>
    <tableColumn id="27" xr3:uid="{FAAA0918-7767-4941-B890-9A5496162B8B}" name="Weekly total cal surplus (deficit)" dataDxfId="19">
      <calculatedColumnFormula>(H2*1000-(J2+K2))*7</calculatedColumnFormula>
    </tableColumn>
    <tableColumn id="5" xr3:uid="{C9F90DEE-C218-40A3-A75F-D88E0BE418A1}" name="Projected weight kg"/>
    <tableColumn id="6" xr3:uid="{EE10BC5C-547A-49E2-BD80-B9AE032948D9}" name="kcals daily avg" dataDxfId="18"/>
    <tableColumn id="7" xr3:uid="{822F9E99-E989-4462-B98F-403E0C07E0BF}" name="Proteins daily avg" dataDxfId="17"/>
    <tableColumn id="8" xr3:uid="{37BD0D90-3EFE-47CB-BD0B-11F47A8C221F}" name="Resting energy kcal" dataDxfId="16"/>
    <tableColumn id="9" xr3:uid="{5A2BE8F9-6582-4EF3-A2A3-A09E641C252A}" name="Active energy kcal" dataDxfId="15"/>
    <tableColumn id="10" xr3:uid="{079176FA-5C04-4EAD-BA94-C47E6E161D82}" name="Totals kg"/>
    <tableColumn id="11" xr3:uid="{36F2CE77-1758-4F13-B84D-F264E4A5EF2C}" name="Leg kg"/>
    <tableColumn id="12" xr3:uid="{435CC711-7B5D-4AA0-A562-9E14DB590C72}" name="Chest kg" dataDxfId="14"/>
    <tableColumn id="13" xr3:uid="{5F767AC0-B91D-4EDB-B67B-529FDC357076}" name="Back kg" dataDxfId="13"/>
    <tableColumn id="14" xr3:uid="{7FC1A188-A6B5-4578-9B58-F1FFDE047003}" name="Shoulders kg" dataDxfId="12"/>
    <tableColumn id="15" xr3:uid="{DA59A4B0-924A-463F-B080-F79CC400B465}" name="Biceps kg" dataDxfId="11"/>
    <tableColumn id="16" xr3:uid="{8F1CC787-1469-4B9B-8777-20FA923D65BF}" name="Core kg" dataDxfId="10"/>
    <tableColumn id="17" xr3:uid="{8D7AD44F-F7EC-49D1-8117-7B2006D00941}" name="Leg sets" dataDxfId="9"/>
    <tableColumn id="18" xr3:uid="{76C118E7-C404-4800-B5CF-CF6F93948E3D}" name="Chest sets" dataDxfId="8"/>
    <tableColumn id="19" xr3:uid="{7BB3BE0E-4E0A-470F-870A-E23B14532532}" name="Back sets" dataDxfId="7"/>
    <tableColumn id="20" xr3:uid="{D70AFB19-6ABB-4C9C-ACB5-5DC0C3BB3465}" name="Shoulders sets" dataDxfId="6"/>
    <tableColumn id="21" xr3:uid="{DCAB7665-3442-4657-94FA-96414BDB7797}" name="Biceps sets" dataDxfId="5"/>
    <tableColumn id="22" xr3:uid="{32ABDA74-77BB-4223-995D-2D6A0E436F2F}" name="Core sets" dataDxfId="4"/>
    <tableColumn id="23" xr3:uid="{9DC50228-6B28-4087-BFA7-CB58CEE42BB1}" name="Mins run" dataDxfId="3">
      <calculatedColumnFormula>SUMIF(#REF!,'Weekly Calendar summary'!$C2,#REF!)</calculatedColumnFormula>
    </tableColumn>
    <tableColumn id="24" xr3:uid="{E794012E-B04F-4442-A5E3-0D895F18BBC7}" name="km run" dataDxfId="2">
      <calculatedColumnFormula>SUMIF(#REF!,'Weekly Calendar summary'!$C2,#REF!)</calculatedColumnFormula>
    </tableColumn>
    <tableColumn id="25" xr3:uid="{6AFEB991-E92B-4E31-BC5B-DF422D65F7DF}" name="Min total" dataDxfId="1">
      <calculatedColumnFormula>Table2[[#This Row],[Mins run]]+Table2[[#This Row],[Mins gym]]</calculatedColumnFormula>
    </tableColumn>
    <tableColumn id="28" xr3:uid="{6E59E83B-7D1D-4C38-A0C6-BFBFFC8E740B}" name="Hours total" dataDxfId="0">
      <calculatedColumnFormula>Table2[[#This Row],[Min total]]/60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8528-4146-4B8E-B45B-13994A05E37F}">
  <sheetPr>
    <tabColor theme="1"/>
  </sheetPr>
  <dimension ref="A1:Z66"/>
  <sheetViews>
    <sheetView workbookViewId="0">
      <selection activeCell="B1" sqref="B1"/>
    </sheetView>
  </sheetViews>
  <sheetFormatPr defaultRowHeight="14.4" x14ac:dyDescent="0.3"/>
  <cols>
    <col min="2" max="2" width="19.77734375" bestFit="1" customWidth="1"/>
    <col min="19" max="19" width="12" customWidth="1"/>
    <col min="20" max="20" width="10.33203125" bestFit="1" customWidth="1"/>
  </cols>
  <sheetData>
    <row r="1" spans="1:26" ht="43.8" thickBot="1" x14ac:dyDescent="0.35">
      <c r="A1" s="6" t="s">
        <v>9</v>
      </c>
      <c r="B1" s="6" t="s">
        <v>10</v>
      </c>
      <c r="C1" s="6" t="s">
        <v>17</v>
      </c>
      <c r="D1" s="6" t="s">
        <v>40</v>
      </c>
      <c r="E1" s="7" t="s">
        <v>33</v>
      </c>
      <c r="F1" s="7" t="s">
        <v>34</v>
      </c>
      <c r="G1" s="7" t="s">
        <v>35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36</v>
      </c>
      <c r="O1" s="7" t="s">
        <v>37</v>
      </c>
      <c r="P1" s="7" t="s">
        <v>38</v>
      </c>
      <c r="Q1" s="6" t="s">
        <v>26</v>
      </c>
      <c r="R1" s="6" t="s">
        <v>51</v>
      </c>
      <c r="S1" s="7" t="s">
        <v>0</v>
      </c>
      <c r="T1" s="7" t="s">
        <v>24</v>
      </c>
      <c r="U1" s="7" t="s">
        <v>25</v>
      </c>
      <c r="V1" s="7" t="s">
        <v>40</v>
      </c>
      <c r="W1" s="7" t="s">
        <v>43</v>
      </c>
      <c r="X1" s="7" t="s">
        <v>17</v>
      </c>
      <c r="Y1" s="7" t="s">
        <v>74</v>
      </c>
      <c r="Z1" s="7" t="s">
        <v>39</v>
      </c>
    </row>
    <row r="2" spans="1:26" ht="15" thickBot="1" x14ac:dyDescent="0.35">
      <c r="A2" s="15" t="s">
        <v>11</v>
      </c>
      <c r="B2" s="15" t="s">
        <v>1</v>
      </c>
      <c r="C2" s="16" t="s">
        <v>18</v>
      </c>
      <c r="D2" s="16" t="s">
        <v>42</v>
      </c>
      <c r="E2" s="17"/>
      <c r="F2" s="17"/>
      <c r="G2" s="17"/>
      <c r="H2" s="17"/>
      <c r="I2" s="17"/>
      <c r="J2" s="17"/>
      <c r="K2" s="17"/>
      <c r="L2" s="17"/>
      <c r="M2" s="17"/>
      <c r="N2" s="18">
        <v>6</v>
      </c>
      <c r="O2" s="19">
        <v>20</v>
      </c>
      <c r="P2" s="19">
        <v>36</v>
      </c>
      <c r="Q2" s="20">
        <f t="shared" ref="Q2:Q22" si="0">N2*O2*P2</f>
        <v>4320</v>
      </c>
      <c r="R2" s="21">
        <v>69.8</v>
      </c>
      <c r="S2" s="22">
        <v>46023</v>
      </c>
      <c r="T2" s="23">
        <v>1</v>
      </c>
      <c r="U2" s="24" t="s">
        <v>54</v>
      </c>
      <c r="V2" s="23">
        <v>1</v>
      </c>
      <c r="W2" s="15" t="s">
        <v>13</v>
      </c>
      <c r="X2" s="16" t="s">
        <v>55</v>
      </c>
      <c r="Y2" s="25">
        <v>72</v>
      </c>
      <c r="Z2" s="16" t="s">
        <v>70</v>
      </c>
    </row>
    <row r="3" spans="1:26" ht="15" thickBot="1" x14ac:dyDescent="0.35">
      <c r="A3" s="26" t="s">
        <v>11</v>
      </c>
      <c r="B3" s="26" t="s">
        <v>2</v>
      </c>
      <c r="C3" s="26" t="s">
        <v>18</v>
      </c>
      <c r="D3" s="26">
        <v>3</v>
      </c>
      <c r="E3" s="3"/>
      <c r="F3" s="3"/>
      <c r="G3" s="3"/>
      <c r="H3" s="3"/>
      <c r="I3" s="3"/>
      <c r="J3" s="3"/>
      <c r="K3" s="3"/>
      <c r="L3" s="3"/>
      <c r="M3" s="3"/>
      <c r="N3" s="27">
        <v>4</v>
      </c>
      <c r="O3" s="27">
        <v>16</v>
      </c>
      <c r="P3" s="27">
        <v>36</v>
      </c>
      <c r="Q3" s="28">
        <f t="shared" si="0"/>
        <v>2304</v>
      </c>
      <c r="R3" s="29">
        <v>69.8</v>
      </c>
      <c r="S3" s="30">
        <v>46023</v>
      </c>
      <c r="T3" s="29">
        <v>1</v>
      </c>
      <c r="U3" s="31" t="s">
        <v>54</v>
      </c>
      <c r="V3" s="29">
        <v>1</v>
      </c>
      <c r="W3" s="26" t="s">
        <v>14</v>
      </c>
      <c r="X3" s="26" t="s">
        <v>55</v>
      </c>
      <c r="Y3" s="32">
        <v>72</v>
      </c>
      <c r="Z3" s="34" t="s">
        <v>70</v>
      </c>
    </row>
    <row r="4" spans="1:26" ht="15" thickBot="1" x14ac:dyDescent="0.35">
      <c r="A4" s="26" t="s">
        <v>11</v>
      </c>
      <c r="B4" s="26" t="s">
        <v>3</v>
      </c>
      <c r="C4" s="26" t="s">
        <v>18</v>
      </c>
      <c r="D4" s="26" t="s">
        <v>41</v>
      </c>
      <c r="E4" s="3"/>
      <c r="F4" s="3"/>
      <c r="G4" s="3"/>
      <c r="H4" s="3"/>
      <c r="I4" s="3"/>
      <c r="J4" s="3"/>
      <c r="K4" s="3"/>
      <c r="L4" s="3"/>
      <c r="M4" s="3"/>
      <c r="N4" s="27">
        <v>6</v>
      </c>
      <c r="O4" s="33">
        <v>12</v>
      </c>
      <c r="P4" s="27">
        <v>28</v>
      </c>
      <c r="Q4" s="28">
        <f t="shared" si="0"/>
        <v>2016</v>
      </c>
      <c r="R4" s="29">
        <v>69.8</v>
      </c>
      <c r="S4" s="30">
        <v>46023</v>
      </c>
      <c r="T4" s="29">
        <v>1</v>
      </c>
      <c r="U4" s="31" t="s">
        <v>54</v>
      </c>
      <c r="V4" s="29">
        <v>1</v>
      </c>
      <c r="W4" s="26" t="s">
        <v>14</v>
      </c>
      <c r="X4" s="26" t="s">
        <v>55</v>
      </c>
      <c r="Y4" s="32">
        <v>72</v>
      </c>
      <c r="Z4" s="34" t="s">
        <v>70</v>
      </c>
    </row>
    <row r="5" spans="1:26" ht="15" thickBot="1" x14ac:dyDescent="0.35">
      <c r="A5" s="26" t="s">
        <v>11</v>
      </c>
      <c r="B5" s="26" t="s">
        <v>56</v>
      </c>
      <c r="C5" s="26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3">
        <v>3</v>
      </c>
      <c r="O5" s="27">
        <v>10</v>
      </c>
      <c r="P5" s="33">
        <f>69*33%</f>
        <v>22.77</v>
      </c>
      <c r="Q5" s="28">
        <f t="shared" si="0"/>
        <v>683.1</v>
      </c>
      <c r="R5" s="29">
        <v>69.8</v>
      </c>
      <c r="S5" s="30">
        <v>46023</v>
      </c>
      <c r="T5" s="29">
        <v>1</v>
      </c>
      <c r="U5" s="31" t="s">
        <v>54</v>
      </c>
      <c r="V5" s="29">
        <v>1</v>
      </c>
      <c r="W5" s="26" t="s">
        <v>14</v>
      </c>
      <c r="X5" s="26" t="s">
        <v>55</v>
      </c>
      <c r="Y5" s="32">
        <v>72</v>
      </c>
      <c r="Z5" s="34" t="s">
        <v>70</v>
      </c>
    </row>
    <row r="6" spans="1:26" ht="15" thickBot="1" x14ac:dyDescent="0.35">
      <c r="A6" s="26" t="s">
        <v>11</v>
      </c>
      <c r="B6" s="26" t="s">
        <v>12</v>
      </c>
      <c r="C6" s="26" t="s">
        <v>18</v>
      </c>
      <c r="D6" s="26">
        <v>2</v>
      </c>
      <c r="E6" s="3"/>
      <c r="F6" s="3"/>
      <c r="G6" s="3"/>
      <c r="H6" s="3"/>
      <c r="I6" s="3"/>
      <c r="J6" s="3"/>
      <c r="K6" s="3"/>
      <c r="L6" s="3"/>
      <c r="M6" s="3"/>
      <c r="N6" s="33">
        <v>3</v>
      </c>
      <c r="O6" s="27">
        <v>12</v>
      </c>
      <c r="P6" s="33">
        <v>36</v>
      </c>
      <c r="Q6" s="28">
        <f t="shared" si="0"/>
        <v>1296</v>
      </c>
      <c r="R6" s="29">
        <v>69.8</v>
      </c>
      <c r="S6" s="30">
        <v>46023</v>
      </c>
      <c r="T6" s="29">
        <v>1</v>
      </c>
      <c r="U6" s="31" t="s">
        <v>54</v>
      </c>
      <c r="V6" s="29">
        <v>1</v>
      </c>
      <c r="W6" s="26" t="s">
        <v>14</v>
      </c>
      <c r="X6" s="26" t="s">
        <v>55</v>
      </c>
      <c r="Y6" s="32">
        <v>72</v>
      </c>
      <c r="Z6" s="34" t="s">
        <v>70</v>
      </c>
    </row>
    <row r="7" spans="1:26" ht="15" thickBot="1" x14ac:dyDescent="0.35">
      <c r="A7" s="26" t="s">
        <v>11</v>
      </c>
      <c r="B7" s="26" t="s">
        <v>57</v>
      </c>
      <c r="C7" s="26" t="s">
        <v>18</v>
      </c>
      <c r="D7" s="3"/>
      <c r="E7" s="3"/>
      <c r="F7" s="3"/>
      <c r="G7" s="3"/>
      <c r="H7" s="3"/>
      <c r="I7" s="3"/>
      <c r="J7" s="3"/>
      <c r="K7" s="3"/>
      <c r="L7" s="3"/>
      <c r="M7" s="3"/>
      <c r="N7" s="27">
        <v>3</v>
      </c>
      <c r="O7" s="27">
        <v>12</v>
      </c>
      <c r="P7" s="27">
        <v>36</v>
      </c>
      <c r="Q7" s="28">
        <f t="shared" si="0"/>
        <v>1296</v>
      </c>
      <c r="R7" s="29">
        <v>69.8</v>
      </c>
      <c r="S7" s="30">
        <v>46023</v>
      </c>
      <c r="T7" s="29">
        <v>1</v>
      </c>
      <c r="U7" s="31" t="s">
        <v>54</v>
      </c>
      <c r="V7" s="29">
        <v>1</v>
      </c>
      <c r="W7" s="26" t="s">
        <v>14</v>
      </c>
      <c r="X7" s="26" t="s">
        <v>55</v>
      </c>
      <c r="Y7" s="32">
        <v>72</v>
      </c>
      <c r="Z7" s="34" t="s">
        <v>70</v>
      </c>
    </row>
    <row r="8" spans="1:26" ht="15" thickBot="1" x14ac:dyDescent="0.35">
      <c r="A8" s="26" t="s">
        <v>11</v>
      </c>
      <c r="B8" s="26" t="s">
        <v>58</v>
      </c>
      <c r="C8" s="26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3">
        <v>3</v>
      </c>
      <c r="O8" s="33">
        <v>30</v>
      </c>
      <c r="P8" s="27">
        <v>1</v>
      </c>
      <c r="Q8" s="28">
        <f t="shared" si="0"/>
        <v>90</v>
      </c>
      <c r="R8" s="29">
        <v>69.8</v>
      </c>
      <c r="S8" s="30">
        <v>46023</v>
      </c>
      <c r="T8" s="29">
        <v>1</v>
      </c>
      <c r="U8" s="31" t="s">
        <v>54</v>
      </c>
      <c r="V8" s="29">
        <v>1</v>
      </c>
      <c r="W8" s="26" t="s">
        <v>14</v>
      </c>
      <c r="X8" s="26" t="s">
        <v>55</v>
      </c>
      <c r="Y8" s="32">
        <v>72</v>
      </c>
      <c r="Z8" s="34" t="s">
        <v>70</v>
      </c>
    </row>
    <row r="9" spans="1:26" ht="15" thickBot="1" x14ac:dyDescent="0.35">
      <c r="A9" s="26" t="s">
        <v>19</v>
      </c>
      <c r="B9" s="26" t="s">
        <v>23</v>
      </c>
      <c r="C9" s="26" t="s">
        <v>18</v>
      </c>
      <c r="D9" s="34" t="s">
        <v>42</v>
      </c>
      <c r="E9" s="3"/>
      <c r="F9" s="3"/>
      <c r="G9" s="3"/>
      <c r="H9" s="3"/>
      <c r="I9" s="3"/>
      <c r="J9" s="3"/>
      <c r="K9" s="3"/>
      <c r="L9" s="3"/>
      <c r="M9" s="3"/>
      <c r="N9" s="33">
        <v>3</v>
      </c>
      <c r="O9" s="33">
        <v>12</v>
      </c>
      <c r="P9" s="27">
        <v>1</v>
      </c>
      <c r="Q9" s="28">
        <f t="shared" si="0"/>
        <v>36</v>
      </c>
      <c r="R9" s="29">
        <v>69.8</v>
      </c>
      <c r="S9" s="30">
        <v>46023</v>
      </c>
      <c r="T9" s="29">
        <v>1</v>
      </c>
      <c r="U9" s="31" t="s">
        <v>54</v>
      </c>
      <c r="V9" s="29">
        <v>1</v>
      </c>
      <c r="W9" s="26" t="s">
        <v>14</v>
      </c>
      <c r="X9" s="26" t="s">
        <v>55</v>
      </c>
      <c r="Y9" s="32">
        <v>72</v>
      </c>
      <c r="Z9" s="34" t="s">
        <v>70</v>
      </c>
    </row>
    <row r="10" spans="1:26" ht="15" thickBot="1" x14ac:dyDescent="0.35">
      <c r="A10" s="26" t="s">
        <v>19</v>
      </c>
      <c r="B10" s="26" t="s">
        <v>7</v>
      </c>
      <c r="C10" s="26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3">
        <v>2</v>
      </c>
      <c r="O10" s="27">
        <v>6</v>
      </c>
      <c r="P10" s="27">
        <v>1</v>
      </c>
      <c r="Q10" s="28">
        <f t="shared" si="0"/>
        <v>12</v>
      </c>
      <c r="R10" s="29">
        <v>69.8</v>
      </c>
      <c r="S10" s="30">
        <v>46023</v>
      </c>
      <c r="T10" s="29">
        <v>1</v>
      </c>
      <c r="U10" s="31" t="s">
        <v>54</v>
      </c>
      <c r="V10" s="29">
        <v>1</v>
      </c>
      <c r="W10" s="26" t="s">
        <v>14</v>
      </c>
      <c r="X10" s="26" t="s">
        <v>55</v>
      </c>
      <c r="Y10" s="32">
        <v>72</v>
      </c>
      <c r="Z10" s="34" t="s">
        <v>70</v>
      </c>
    </row>
    <row r="11" spans="1:26" ht="15" thickBot="1" x14ac:dyDescent="0.35">
      <c r="A11" s="15" t="s">
        <v>15</v>
      </c>
      <c r="B11" s="15" t="s">
        <v>5</v>
      </c>
      <c r="C11" s="15" t="s">
        <v>18</v>
      </c>
      <c r="D11" s="15" t="s">
        <v>44</v>
      </c>
      <c r="E11" s="17"/>
      <c r="F11" s="17"/>
      <c r="G11" s="17"/>
      <c r="H11" s="17"/>
      <c r="I11" s="17"/>
      <c r="J11" s="17"/>
      <c r="K11" s="17"/>
      <c r="L11" s="17"/>
      <c r="M11" s="17"/>
      <c r="N11" s="18">
        <v>6</v>
      </c>
      <c r="O11" s="18">
        <v>8</v>
      </c>
      <c r="P11" s="18">
        <v>69</v>
      </c>
      <c r="Q11" s="20">
        <f t="shared" si="0"/>
        <v>3312</v>
      </c>
      <c r="R11" s="21">
        <v>69.8</v>
      </c>
      <c r="S11" s="35">
        <v>46024</v>
      </c>
      <c r="T11" s="23">
        <v>1</v>
      </c>
      <c r="U11" s="24" t="s">
        <v>54</v>
      </c>
      <c r="V11" s="23">
        <v>2</v>
      </c>
      <c r="W11" s="15" t="s">
        <v>13</v>
      </c>
      <c r="X11" s="16" t="s">
        <v>55</v>
      </c>
      <c r="Y11" s="36">
        <v>103</v>
      </c>
      <c r="Z11" s="15" t="s">
        <v>59</v>
      </c>
    </row>
    <row r="12" spans="1:26" ht="15" thickBot="1" x14ac:dyDescent="0.35">
      <c r="A12" s="26" t="s">
        <v>15</v>
      </c>
      <c r="B12" s="26" t="s">
        <v>60</v>
      </c>
      <c r="C12" s="26" t="s">
        <v>18</v>
      </c>
      <c r="D12" s="26">
        <v>2</v>
      </c>
      <c r="E12" s="3"/>
      <c r="F12" s="3"/>
      <c r="G12" s="3"/>
      <c r="H12" s="3"/>
      <c r="I12" s="3"/>
      <c r="J12" s="3"/>
      <c r="K12" s="3"/>
      <c r="L12" s="3"/>
      <c r="M12" s="3"/>
      <c r="N12" s="33">
        <v>3</v>
      </c>
      <c r="O12" s="33">
        <v>12</v>
      </c>
      <c r="P12" s="33">
        <v>22.77</v>
      </c>
      <c r="Q12" s="28">
        <f t="shared" si="0"/>
        <v>819.72</v>
      </c>
      <c r="R12" s="37">
        <v>69.8</v>
      </c>
      <c r="S12" s="38">
        <v>46024</v>
      </c>
      <c r="T12" s="29">
        <v>1</v>
      </c>
      <c r="U12" s="31" t="s">
        <v>54</v>
      </c>
      <c r="V12" s="29">
        <v>2</v>
      </c>
      <c r="W12" s="26" t="s">
        <v>14</v>
      </c>
      <c r="X12" s="26" t="s">
        <v>55</v>
      </c>
      <c r="Y12" s="32">
        <v>103</v>
      </c>
      <c r="Z12" s="26" t="s">
        <v>59</v>
      </c>
    </row>
    <row r="13" spans="1:26" ht="15" thickBot="1" x14ac:dyDescent="0.35">
      <c r="A13" s="26" t="s">
        <v>15</v>
      </c>
      <c r="B13" s="26" t="s">
        <v>61</v>
      </c>
      <c r="C13" s="26" t="s">
        <v>18</v>
      </c>
      <c r="D13" s="26">
        <v>2</v>
      </c>
      <c r="E13" s="3"/>
      <c r="F13" s="3"/>
      <c r="G13" s="3"/>
      <c r="H13" s="3"/>
      <c r="I13" s="3"/>
      <c r="J13" s="3"/>
      <c r="K13" s="3"/>
      <c r="L13" s="3"/>
      <c r="M13" s="3"/>
      <c r="N13" s="33">
        <v>3</v>
      </c>
      <c r="O13" s="33">
        <v>12</v>
      </c>
      <c r="P13" s="33">
        <v>22.77</v>
      </c>
      <c r="Q13" s="28">
        <f t="shared" si="0"/>
        <v>819.72</v>
      </c>
      <c r="R13" s="37">
        <v>69.8</v>
      </c>
      <c r="S13" s="38">
        <v>46024</v>
      </c>
      <c r="T13" s="29">
        <v>1</v>
      </c>
      <c r="U13" s="31" t="s">
        <v>54</v>
      </c>
      <c r="V13" s="29">
        <v>2</v>
      </c>
      <c r="W13" s="26" t="s">
        <v>14</v>
      </c>
      <c r="X13" s="26" t="s">
        <v>55</v>
      </c>
      <c r="Y13" s="32">
        <v>103</v>
      </c>
      <c r="Z13" s="26" t="s">
        <v>59</v>
      </c>
    </row>
    <row r="14" spans="1:26" ht="15" thickBot="1" x14ac:dyDescent="0.35">
      <c r="A14" s="26" t="s">
        <v>62</v>
      </c>
      <c r="B14" s="26" t="s">
        <v>63</v>
      </c>
      <c r="C14" s="26" t="s">
        <v>18</v>
      </c>
      <c r="D14" s="26">
        <v>2</v>
      </c>
      <c r="E14" s="3"/>
      <c r="F14" s="3"/>
      <c r="G14" s="3"/>
      <c r="H14" s="3"/>
      <c r="I14" s="3"/>
      <c r="J14" s="3"/>
      <c r="K14" s="3"/>
      <c r="L14" s="3"/>
      <c r="M14" s="3"/>
      <c r="N14" s="33">
        <v>3</v>
      </c>
      <c r="O14" s="33">
        <v>12</v>
      </c>
      <c r="P14" s="33">
        <v>22.77</v>
      </c>
      <c r="Q14" s="28">
        <f t="shared" si="0"/>
        <v>819.72</v>
      </c>
      <c r="R14" s="37">
        <v>69.8</v>
      </c>
      <c r="S14" s="38">
        <v>46024</v>
      </c>
      <c r="T14" s="29">
        <v>1</v>
      </c>
      <c r="U14" s="31" t="s">
        <v>54</v>
      </c>
      <c r="V14" s="29">
        <v>2</v>
      </c>
      <c r="W14" s="26" t="s">
        <v>14</v>
      </c>
      <c r="X14" s="26" t="s">
        <v>55</v>
      </c>
      <c r="Y14" s="32">
        <v>103</v>
      </c>
      <c r="Z14" s="26" t="s">
        <v>59</v>
      </c>
    </row>
    <row r="15" spans="1:26" ht="15" thickBot="1" x14ac:dyDescent="0.35">
      <c r="A15" s="26" t="s">
        <v>64</v>
      </c>
      <c r="B15" s="26" t="s">
        <v>65</v>
      </c>
      <c r="C15" s="26" t="s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3">
        <v>3</v>
      </c>
      <c r="O15" s="33">
        <v>12</v>
      </c>
      <c r="P15" s="33">
        <v>22.77</v>
      </c>
      <c r="Q15" s="28">
        <f t="shared" si="0"/>
        <v>819.72</v>
      </c>
      <c r="R15" s="37">
        <v>69.8</v>
      </c>
      <c r="S15" s="38">
        <v>46024</v>
      </c>
      <c r="T15" s="29">
        <v>1</v>
      </c>
      <c r="U15" s="31" t="s">
        <v>54</v>
      </c>
      <c r="V15" s="29">
        <v>2</v>
      </c>
      <c r="W15" s="26" t="s">
        <v>14</v>
      </c>
      <c r="X15" s="26" t="s">
        <v>55</v>
      </c>
      <c r="Y15" s="32">
        <v>103</v>
      </c>
      <c r="Z15" s="26" t="s">
        <v>59</v>
      </c>
    </row>
    <row r="16" spans="1:26" ht="15" thickBot="1" x14ac:dyDescent="0.35">
      <c r="A16" s="26" t="s">
        <v>16</v>
      </c>
      <c r="B16" s="26" t="s">
        <v>21</v>
      </c>
      <c r="C16" s="26" t="s">
        <v>18</v>
      </c>
      <c r="D16" s="26">
        <v>2</v>
      </c>
      <c r="E16" s="3"/>
      <c r="F16" s="3"/>
      <c r="G16" s="3"/>
      <c r="H16" s="3"/>
      <c r="I16" s="3"/>
      <c r="J16" s="3"/>
      <c r="K16" s="3"/>
      <c r="L16" s="3"/>
      <c r="M16" s="3"/>
      <c r="N16" s="33">
        <v>3</v>
      </c>
      <c r="O16" s="33">
        <v>12</v>
      </c>
      <c r="P16" s="33">
        <v>44</v>
      </c>
      <c r="Q16" s="28">
        <f t="shared" si="0"/>
        <v>1584</v>
      </c>
      <c r="R16" s="37">
        <v>69.8</v>
      </c>
      <c r="S16" s="38">
        <v>46024</v>
      </c>
      <c r="T16" s="29">
        <v>1</v>
      </c>
      <c r="U16" s="31" t="s">
        <v>54</v>
      </c>
      <c r="V16" s="29">
        <v>2</v>
      </c>
      <c r="W16" s="26" t="s">
        <v>14</v>
      </c>
      <c r="X16" s="26" t="s">
        <v>55</v>
      </c>
      <c r="Y16" s="32">
        <v>103</v>
      </c>
      <c r="Z16" s="26" t="s">
        <v>59</v>
      </c>
    </row>
    <row r="17" spans="1:26" ht="15" thickBot="1" x14ac:dyDescent="0.35">
      <c r="A17" s="26" t="s">
        <v>16</v>
      </c>
      <c r="B17" s="26" t="s">
        <v>6</v>
      </c>
      <c r="C17" s="26" t="s">
        <v>18</v>
      </c>
      <c r="D17" s="34" t="s">
        <v>42</v>
      </c>
      <c r="E17" s="3"/>
      <c r="F17" s="3"/>
      <c r="G17" s="3"/>
      <c r="H17" s="3"/>
      <c r="I17" s="3"/>
      <c r="J17" s="3"/>
      <c r="K17" s="3"/>
      <c r="L17" s="3"/>
      <c r="M17" s="3"/>
      <c r="N17" s="33">
        <v>4</v>
      </c>
      <c r="O17" s="33">
        <v>10</v>
      </c>
      <c r="P17" s="33">
        <v>69</v>
      </c>
      <c r="Q17" s="28">
        <f t="shared" si="0"/>
        <v>2760</v>
      </c>
      <c r="R17" s="37">
        <v>69.8</v>
      </c>
      <c r="S17" s="38">
        <v>46024</v>
      </c>
      <c r="T17" s="29">
        <v>1</v>
      </c>
      <c r="U17" s="31" t="s">
        <v>54</v>
      </c>
      <c r="V17" s="29">
        <v>2</v>
      </c>
      <c r="W17" s="26" t="s">
        <v>14</v>
      </c>
      <c r="X17" s="26" t="s">
        <v>55</v>
      </c>
      <c r="Y17" s="32">
        <v>103</v>
      </c>
      <c r="Z17" s="26" t="s">
        <v>59</v>
      </c>
    </row>
    <row r="18" spans="1:26" ht="15" thickBot="1" x14ac:dyDescent="0.35">
      <c r="A18" s="26" t="s">
        <v>20</v>
      </c>
      <c r="B18" s="26" t="s">
        <v>4</v>
      </c>
      <c r="C18" s="26" t="s">
        <v>18</v>
      </c>
      <c r="D18" s="26" t="s">
        <v>44</v>
      </c>
      <c r="E18" s="3"/>
      <c r="F18" s="3"/>
      <c r="G18" s="3"/>
      <c r="H18" s="3"/>
      <c r="I18" s="3"/>
      <c r="J18" s="3"/>
      <c r="K18" s="3"/>
      <c r="L18" s="3"/>
      <c r="M18" s="3"/>
      <c r="N18" s="33">
        <v>3</v>
      </c>
      <c r="O18" s="33">
        <v>10</v>
      </c>
      <c r="P18" s="33">
        <v>24</v>
      </c>
      <c r="Q18" s="28">
        <f t="shared" si="0"/>
        <v>720</v>
      </c>
      <c r="R18" s="37">
        <v>69.8</v>
      </c>
      <c r="S18" s="38">
        <v>46024</v>
      </c>
      <c r="T18" s="29">
        <v>1</v>
      </c>
      <c r="U18" s="31" t="s">
        <v>54</v>
      </c>
      <c r="V18" s="29">
        <v>2</v>
      </c>
      <c r="W18" s="26" t="s">
        <v>14</v>
      </c>
      <c r="X18" s="26" t="s">
        <v>55</v>
      </c>
      <c r="Y18" s="32">
        <v>103</v>
      </c>
      <c r="Z18" s="26" t="s">
        <v>59</v>
      </c>
    </row>
    <row r="19" spans="1:26" ht="15" thickBot="1" x14ac:dyDescent="0.35">
      <c r="A19" s="26" t="s">
        <v>20</v>
      </c>
      <c r="B19" s="26" t="s">
        <v>66</v>
      </c>
      <c r="C19" s="26" t="s">
        <v>18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3">
        <v>3</v>
      </c>
      <c r="O19" s="33">
        <v>8</v>
      </c>
      <c r="P19" s="33">
        <v>10</v>
      </c>
      <c r="Q19" s="28">
        <f t="shared" si="0"/>
        <v>240</v>
      </c>
      <c r="R19" s="37">
        <v>69.8</v>
      </c>
      <c r="S19" s="38">
        <v>46024</v>
      </c>
      <c r="T19" s="29">
        <v>1</v>
      </c>
      <c r="U19" s="31" t="s">
        <v>54</v>
      </c>
      <c r="V19" s="29">
        <v>2</v>
      </c>
      <c r="W19" s="26" t="s">
        <v>14</v>
      </c>
      <c r="X19" s="26" t="s">
        <v>55</v>
      </c>
      <c r="Y19" s="32">
        <v>103</v>
      </c>
      <c r="Z19" s="26" t="s">
        <v>59</v>
      </c>
    </row>
    <row r="20" spans="1:26" ht="15" thickBot="1" x14ac:dyDescent="0.35">
      <c r="A20" s="26" t="s">
        <v>20</v>
      </c>
      <c r="B20" s="26" t="s">
        <v>67</v>
      </c>
      <c r="C20" s="26" t="s">
        <v>18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3">
        <v>3</v>
      </c>
      <c r="O20" s="33">
        <v>8</v>
      </c>
      <c r="P20" s="33">
        <v>1</v>
      </c>
      <c r="Q20" s="28">
        <f t="shared" si="0"/>
        <v>24</v>
      </c>
      <c r="R20" s="37">
        <v>69.8</v>
      </c>
      <c r="S20" s="38">
        <v>46024</v>
      </c>
      <c r="T20" s="29">
        <v>1</v>
      </c>
      <c r="U20" s="31" t="s">
        <v>54</v>
      </c>
      <c r="V20" s="29">
        <v>2</v>
      </c>
      <c r="W20" s="26" t="s">
        <v>14</v>
      </c>
      <c r="X20" s="26" t="s">
        <v>55</v>
      </c>
      <c r="Y20" s="32">
        <v>103</v>
      </c>
      <c r="Z20" s="26" t="s">
        <v>59</v>
      </c>
    </row>
    <row r="21" spans="1:26" ht="15" thickBot="1" x14ac:dyDescent="0.35">
      <c r="A21" s="26" t="s">
        <v>19</v>
      </c>
      <c r="B21" s="26" t="s">
        <v>68</v>
      </c>
      <c r="C21" s="26" t="s">
        <v>18</v>
      </c>
      <c r="D21" s="34" t="s">
        <v>42</v>
      </c>
      <c r="E21" s="3"/>
      <c r="F21" s="3"/>
      <c r="G21" s="3"/>
      <c r="H21" s="3"/>
      <c r="I21" s="3"/>
      <c r="J21" s="3"/>
      <c r="K21" s="3"/>
      <c r="L21" s="3"/>
      <c r="M21" s="3"/>
      <c r="N21" s="33">
        <v>3</v>
      </c>
      <c r="O21" s="33">
        <v>3</v>
      </c>
      <c r="P21" s="33">
        <v>1</v>
      </c>
      <c r="Q21" s="28">
        <f t="shared" si="0"/>
        <v>9</v>
      </c>
      <c r="R21" s="37">
        <v>69.8</v>
      </c>
      <c r="S21" s="38">
        <v>46024</v>
      </c>
      <c r="T21" s="29">
        <v>1</v>
      </c>
      <c r="U21" s="31" t="s">
        <v>54</v>
      </c>
      <c r="V21" s="29">
        <v>2</v>
      </c>
      <c r="W21" s="26" t="s">
        <v>14</v>
      </c>
      <c r="X21" s="26" t="s">
        <v>55</v>
      </c>
      <c r="Y21" s="32">
        <v>103</v>
      </c>
      <c r="Z21" s="26" t="s">
        <v>59</v>
      </c>
    </row>
    <row r="22" spans="1:26" ht="15" thickBot="1" x14ac:dyDescent="0.35">
      <c r="A22" s="26" t="s">
        <v>19</v>
      </c>
      <c r="B22" s="26" t="s">
        <v>69</v>
      </c>
      <c r="C22" s="26" t="s">
        <v>18</v>
      </c>
      <c r="D22" s="34" t="s">
        <v>42</v>
      </c>
      <c r="E22" s="3"/>
      <c r="F22" s="3"/>
      <c r="G22" s="3"/>
      <c r="H22" s="3"/>
      <c r="I22" s="3"/>
      <c r="J22" s="3"/>
      <c r="K22" s="3"/>
      <c r="L22" s="3"/>
      <c r="M22" s="3"/>
      <c r="N22" s="33">
        <v>3</v>
      </c>
      <c r="O22" s="33">
        <v>3</v>
      </c>
      <c r="P22" s="33">
        <v>1</v>
      </c>
      <c r="Q22" s="28">
        <f t="shared" si="0"/>
        <v>9</v>
      </c>
      <c r="R22" s="37">
        <v>69.8</v>
      </c>
      <c r="S22" s="38">
        <v>46024</v>
      </c>
      <c r="T22" s="29">
        <v>1</v>
      </c>
      <c r="U22" s="31" t="s">
        <v>54</v>
      </c>
      <c r="V22" s="29">
        <v>2</v>
      </c>
      <c r="W22" s="26" t="s">
        <v>14</v>
      </c>
      <c r="X22" s="26" t="s">
        <v>55</v>
      </c>
      <c r="Y22" s="32">
        <v>103</v>
      </c>
      <c r="Z22" s="26" t="s">
        <v>59</v>
      </c>
    </row>
    <row r="23" spans="1:26" ht="15" thickBot="1" x14ac:dyDescent="0.35">
      <c r="A23" s="15" t="s">
        <v>11</v>
      </c>
      <c r="B23" s="15" t="s">
        <v>1</v>
      </c>
      <c r="C23" s="16" t="s">
        <v>18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>
        <v>6</v>
      </c>
      <c r="O23" s="19">
        <v>20</v>
      </c>
      <c r="P23" s="19">
        <v>36</v>
      </c>
      <c r="Q23" s="20">
        <v>4320</v>
      </c>
      <c r="R23" s="21">
        <v>69.8</v>
      </c>
      <c r="S23" s="22">
        <v>46026</v>
      </c>
      <c r="T23" s="23">
        <v>1</v>
      </c>
      <c r="U23" s="24" t="s">
        <v>54</v>
      </c>
      <c r="V23" s="23">
        <v>3</v>
      </c>
      <c r="W23" s="15" t="s">
        <v>13</v>
      </c>
      <c r="X23" s="16" t="s">
        <v>55</v>
      </c>
      <c r="Y23" s="25">
        <v>87</v>
      </c>
    </row>
    <row r="24" spans="1:26" ht="15" thickBot="1" x14ac:dyDescent="0.35">
      <c r="A24" s="26" t="s">
        <v>11</v>
      </c>
      <c r="B24" s="26" t="s">
        <v>2</v>
      </c>
      <c r="C24" s="26" t="s">
        <v>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27">
        <v>4</v>
      </c>
      <c r="O24" s="27">
        <v>16</v>
      </c>
      <c r="P24" s="27">
        <v>36</v>
      </c>
      <c r="Q24" s="28">
        <v>2304</v>
      </c>
      <c r="R24" s="29">
        <v>69.8</v>
      </c>
      <c r="S24" s="30">
        <v>46026</v>
      </c>
      <c r="T24" s="29">
        <v>1</v>
      </c>
      <c r="U24" s="31" t="s">
        <v>54</v>
      </c>
      <c r="V24" s="29">
        <v>3</v>
      </c>
      <c r="W24" s="26" t="s">
        <v>13</v>
      </c>
      <c r="X24" s="26" t="s">
        <v>55</v>
      </c>
      <c r="Y24" s="41">
        <v>87</v>
      </c>
    </row>
    <row r="25" spans="1:26" ht="15" thickBot="1" x14ac:dyDescent="0.35">
      <c r="A25" s="26" t="s">
        <v>11</v>
      </c>
      <c r="B25" s="26" t="s">
        <v>56</v>
      </c>
      <c r="C25" s="26" t="s">
        <v>18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3">
        <v>3</v>
      </c>
      <c r="O25" s="27">
        <v>12</v>
      </c>
      <c r="P25" s="33">
        <v>22.77</v>
      </c>
      <c r="Q25" s="28">
        <v>819.72</v>
      </c>
      <c r="R25" s="29">
        <v>69.8</v>
      </c>
      <c r="S25" s="30">
        <v>46026</v>
      </c>
      <c r="T25" s="29">
        <v>1</v>
      </c>
      <c r="U25" s="31" t="s">
        <v>54</v>
      </c>
      <c r="V25" s="29">
        <v>3</v>
      </c>
      <c r="W25" s="26" t="s">
        <v>14</v>
      </c>
      <c r="X25" s="26" t="s">
        <v>55</v>
      </c>
      <c r="Y25" s="41">
        <v>87</v>
      </c>
    </row>
    <row r="26" spans="1:26" ht="15" thickBot="1" x14ac:dyDescent="0.35">
      <c r="A26" s="26" t="s">
        <v>20</v>
      </c>
      <c r="B26" s="26" t="s">
        <v>4</v>
      </c>
      <c r="C26" s="26" t="s">
        <v>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3">
        <v>3</v>
      </c>
      <c r="O26" s="33">
        <v>10</v>
      </c>
      <c r="P26" s="33">
        <v>36</v>
      </c>
      <c r="Q26" s="28">
        <v>1080</v>
      </c>
      <c r="R26" s="37">
        <v>69.8</v>
      </c>
      <c r="S26" s="30">
        <v>46026</v>
      </c>
      <c r="T26" s="29">
        <v>1</v>
      </c>
      <c r="U26" s="31" t="s">
        <v>54</v>
      </c>
      <c r="V26" s="29">
        <v>3</v>
      </c>
      <c r="W26" s="26" t="s">
        <v>14</v>
      </c>
      <c r="X26" s="26" t="s">
        <v>55</v>
      </c>
      <c r="Y26" s="41">
        <v>87</v>
      </c>
    </row>
    <row r="27" spans="1:26" ht="15" thickBot="1" x14ac:dyDescent="0.35">
      <c r="A27" s="26" t="s">
        <v>22</v>
      </c>
      <c r="B27" s="26" t="s">
        <v>4</v>
      </c>
      <c r="C27" s="26" t="s">
        <v>18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3">
        <v>3</v>
      </c>
      <c r="O27" s="33">
        <v>8</v>
      </c>
      <c r="P27" s="33">
        <v>36</v>
      </c>
      <c r="Q27" s="28">
        <v>864</v>
      </c>
      <c r="R27" s="37">
        <v>69.8</v>
      </c>
      <c r="S27" s="30">
        <v>46026</v>
      </c>
      <c r="T27" s="29">
        <v>1</v>
      </c>
      <c r="U27" s="31" t="s">
        <v>54</v>
      </c>
      <c r="V27" s="29">
        <v>3</v>
      </c>
      <c r="W27" s="26" t="s">
        <v>14</v>
      </c>
      <c r="X27" s="26" t="s">
        <v>55</v>
      </c>
      <c r="Y27" s="41">
        <v>87</v>
      </c>
    </row>
    <row r="28" spans="1:26" ht="15" thickBot="1" x14ac:dyDescent="0.35">
      <c r="A28" s="26" t="s">
        <v>15</v>
      </c>
      <c r="B28" s="26" t="s">
        <v>5</v>
      </c>
      <c r="C28" s="26" t="s">
        <v>18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3">
        <v>4</v>
      </c>
      <c r="O28" s="33">
        <v>8</v>
      </c>
      <c r="P28" s="33">
        <v>69</v>
      </c>
      <c r="Q28" s="28">
        <v>2208</v>
      </c>
      <c r="R28" s="37">
        <v>69.8</v>
      </c>
      <c r="S28" s="30">
        <v>46026</v>
      </c>
      <c r="T28" s="29">
        <v>1</v>
      </c>
      <c r="U28" s="42" t="s">
        <v>54</v>
      </c>
      <c r="V28" s="29">
        <v>3</v>
      </c>
      <c r="W28" s="26" t="s">
        <v>13</v>
      </c>
      <c r="X28" s="34" t="s">
        <v>55</v>
      </c>
      <c r="Y28" s="41">
        <v>87</v>
      </c>
    </row>
    <row r="29" spans="1:26" ht="15" thickBot="1" x14ac:dyDescent="0.35">
      <c r="A29" s="26" t="s">
        <v>19</v>
      </c>
      <c r="B29" s="26" t="s">
        <v>68</v>
      </c>
      <c r="C29" s="26" t="s">
        <v>18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3">
        <v>3</v>
      </c>
      <c r="O29" s="33">
        <v>3</v>
      </c>
      <c r="P29" s="33">
        <v>1</v>
      </c>
      <c r="Q29" s="28">
        <v>9</v>
      </c>
      <c r="R29" s="37">
        <v>69.8</v>
      </c>
      <c r="S29" s="30">
        <v>46026</v>
      </c>
      <c r="T29" s="29">
        <v>1</v>
      </c>
      <c r="U29" s="31" t="s">
        <v>54</v>
      </c>
      <c r="V29" s="29">
        <v>3</v>
      </c>
      <c r="W29" s="26" t="s">
        <v>14</v>
      </c>
      <c r="X29" s="26" t="s">
        <v>55</v>
      </c>
      <c r="Y29" s="41">
        <v>87</v>
      </c>
    </row>
    <row r="30" spans="1:26" ht="15" thickBot="1" x14ac:dyDescent="0.35">
      <c r="A30" s="26" t="s">
        <v>19</v>
      </c>
      <c r="B30" s="26" t="s">
        <v>69</v>
      </c>
      <c r="C30" s="26" t="s">
        <v>18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3">
        <v>3</v>
      </c>
      <c r="O30" s="33">
        <v>3</v>
      </c>
      <c r="P30" s="33">
        <v>1</v>
      </c>
      <c r="Q30" s="28">
        <v>9</v>
      </c>
      <c r="R30" s="37">
        <v>69.8</v>
      </c>
      <c r="S30" s="30">
        <v>46026</v>
      </c>
      <c r="T30" s="29">
        <v>1</v>
      </c>
      <c r="U30" s="31" t="s">
        <v>54</v>
      </c>
      <c r="V30" s="29">
        <v>3</v>
      </c>
      <c r="W30" s="26" t="s">
        <v>14</v>
      </c>
      <c r="X30" s="26" t="s">
        <v>55</v>
      </c>
      <c r="Y30" s="41">
        <v>87</v>
      </c>
    </row>
    <row r="31" spans="1:26" ht="15" thickBot="1" x14ac:dyDescent="0.35">
      <c r="A31" s="26" t="s">
        <v>20</v>
      </c>
      <c r="B31" s="26" t="s">
        <v>67</v>
      </c>
      <c r="C31" s="26" t="s">
        <v>18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3">
        <v>3</v>
      </c>
      <c r="O31" s="33">
        <v>8</v>
      </c>
      <c r="P31" s="33">
        <v>1</v>
      </c>
      <c r="Q31" s="28">
        <v>24</v>
      </c>
      <c r="R31" s="37">
        <v>69.8</v>
      </c>
      <c r="S31" s="30">
        <v>46026</v>
      </c>
      <c r="T31" s="29">
        <v>1</v>
      </c>
      <c r="U31" s="31" t="s">
        <v>54</v>
      </c>
      <c r="V31" s="29">
        <v>3</v>
      </c>
      <c r="W31" s="26" t="s">
        <v>14</v>
      </c>
      <c r="X31" s="26" t="s">
        <v>55</v>
      </c>
      <c r="Y31" s="41">
        <v>87</v>
      </c>
    </row>
    <row r="32" spans="1:26" ht="15" thickBot="1" x14ac:dyDescent="0.35">
      <c r="A32" s="26" t="s">
        <v>16</v>
      </c>
      <c r="B32" s="26" t="s">
        <v>21</v>
      </c>
      <c r="C32" s="26" t="s">
        <v>18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3">
        <v>3</v>
      </c>
      <c r="O32" s="33">
        <v>14</v>
      </c>
      <c r="P32" s="33">
        <v>36</v>
      </c>
      <c r="Q32" s="28">
        <v>1512</v>
      </c>
      <c r="R32" s="37">
        <v>69.8</v>
      </c>
      <c r="S32" s="30">
        <v>46026</v>
      </c>
      <c r="T32" s="29">
        <v>1</v>
      </c>
      <c r="U32" s="31" t="s">
        <v>54</v>
      </c>
      <c r="V32" s="29">
        <v>3</v>
      </c>
      <c r="W32" s="26" t="s">
        <v>14</v>
      </c>
      <c r="X32" s="26" t="s">
        <v>55</v>
      </c>
      <c r="Y32" s="41">
        <v>87</v>
      </c>
    </row>
    <row r="33" spans="1:25" ht="15" thickBot="1" x14ac:dyDescent="0.35">
      <c r="A33" s="26" t="s">
        <v>62</v>
      </c>
      <c r="B33" s="26" t="s">
        <v>63</v>
      </c>
      <c r="C33" s="26" t="s">
        <v>18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3">
        <v>3</v>
      </c>
      <c r="O33" s="33">
        <v>10</v>
      </c>
      <c r="P33" s="33">
        <v>22.77</v>
      </c>
      <c r="Q33" s="28">
        <v>683.1</v>
      </c>
      <c r="R33" s="37">
        <v>69.8</v>
      </c>
      <c r="S33" s="30">
        <v>46026</v>
      </c>
      <c r="T33" s="29">
        <v>1</v>
      </c>
      <c r="U33" s="31" t="s">
        <v>54</v>
      </c>
      <c r="V33" s="29">
        <v>3</v>
      </c>
      <c r="W33" s="26" t="s">
        <v>14</v>
      </c>
      <c r="X33" s="26" t="s">
        <v>55</v>
      </c>
      <c r="Y33" s="41">
        <v>87</v>
      </c>
    </row>
    <row r="34" spans="1:25" ht="15" thickBot="1" x14ac:dyDescent="0.35">
      <c r="A34" s="26" t="s">
        <v>16</v>
      </c>
      <c r="B34" s="26" t="s">
        <v>78</v>
      </c>
      <c r="C34" s="26" t="s">
        <v>18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3">
        <v>3</v>
      </c>
      <c r="O34" s="33">
        <v>10</v>
      </c>
      <c r="P34" s="33">
        <v>22.77</v>
      </c>
      <c r="Q34" s="28">
        <v>683.1</v>
      </c>
      <c r="R34" s="37">
        <v>69.8</v>
      </c>
      <c r="S34" s="30">
        <v>46026</v>
      </c>
      <c r="T34" s="29">
        <v>1</v>
      </c>
      <c r="U34" s="31" t="s">
        <v>54</v>
      </c>
      <c r="V34" s="29">
        <v>3</v>
      </c>
      <c r="W34" s="26" t="s">
        <v>14</v>
      </c>
      <c r="X34" s="26" t="s">
        <v>55</v>
      </c>
      <c r="Y34" s="41">
        <v>87</v>
      </c>
    </row>
    <row r="35" spans="1:25" x14ac:dyDescent="0.3">
      <c r="T35" s="2"/>
    </row>
    <row r="36" spans="1:25" x14ac:dyDescent="0.3">
      <c r="T36" s="2"/>
    </row>
    <row r="37" spans="1:25" x14ac:dyDescent="0.3">
      <c r="T37" s="2"/>
    </row>
    <row r="38" spans="1:25" x14ac:dyDescent="0.3">
      <c r="T38" s="2"/>
    </row>
    <row r="39" spans="1:25" x14ac:dyDescent="0.3">
      <c r="T39" s="2"/>
    </row>
    <row r="40" spans="1:25" x14ac:dyDescent="0.3">
      <c r="T40" s="2"/>
    </row>
    <row r="41" spans="1:25" x14ac:dyDescent="0.3">
      <c r="T41" s="2"/>
    </row>
    <row r="42" spans="1:25" x14ac:dyDescent="0.3">
      <c r="T42" s="2"/>
    </row>
    <row r="43" spans="1:25" x14ac:dyDescent="0.3">
      <c r="T43" s="2"/>
    </row>
    <row r="44" spans="1:25" x14ac:dyDescent="0.3">
      <c r="T44" s="2"/>
    </row>
    <row r="45" spans="1:25" x14ac:dyDescent="0.3">
      <c r="T45" s="2"/>
    </row>
    <row r="46" spans="1:25" x14ac:dyDescent="0.3">
      <c r="T46" s="2"/>
    </row>
    <row r="47" spans="1:25" x14ac:dyDescent="0.3">
      <c r="T47" s="2"/>
    </row>
    <row r="48" spans="1:25" x14ac:dyDescent="0.3">
      <c r="T48" s="2"/>
    </row>
    <row r="49" spans="20:20" x14ac:dyDescent="0.3">
      <c r="T49" s="2"/>
    </row>
    <row r="50" spans="20:20" x14ac:dyDescent="0.3">
      <c r="T50" s="2"/>
    </row>
    <row r="51" spans="20:20" x14ac:dyDescent="0.3">
      <c r="T51" s="2"/>
    </row>
    <row r="52" spans="20:20" x14ac:dyDescent="0.3">
      <c r="T52" s="2"/>
    </row>
    <row r="53" spans="20:20" x14ac:dyDescent="0.3">
      <c r="T53" s="2"/>
    </row>
    <row r="54" spans="20:20" x14ac:dyDescent="0.3">
      <c r="T54" s="2"/>
    </row>
    <row r="55" spans="20:20" x14ac:dyDescent="0.3">
      <c r="T55" s="2"/>
    </row>
    <row r="56" spans="20:20" x14ac:dyDescent="0.3">
      <c r="T56" s="2"/>
    </row>
    <row r="57" spans="20:20" x14ac:dyDescent="0.3">
      <c r="T57" s="2"/>
    </row>
    <row r="58" spans="20:20" x14ac:dyDescent="0.3">
      <c r="T58" s="2"/>
    </row>
    <row r="59" spans="20:20" x14ac:dyDescent="0.3">
      <c r="T59" s="2"/>
    </row>
    <row r="60" spans="20:20" x14ac:dyDescent="0.3">
      <c r="T60" s="2"/>
    </row>
    <row r="61" spans="20:20" x14ac:dyDescent="0.3">
      <c r="T61" s="2"/>
    </row>
    <row r="62" spans="20:20" x14ac:dyDescent="0.3">
      <c r="T62" s="2"/>
    </row>
    <row r="63" spans="20:20" x14ac:dyDescent="0.3">
      <c r="T63" s="2"/>
    </row>
    <row r="64" spans="20:20" x14ac:dyDescent="0.3">
      <c r="T64" s="2"/>
    </row>
    <row r="65" spans="20:20" x14ac:dyDescent="0.3">
      <c r="T65" s="2"/>
    </row>
    <row r="66" spans="20:20" x14ac:dyDescent="0.3">
      <c r="T66" s="2"/>
    </row>
  </sheetData>
  <autoFilter ref="A1:Z10" xr:uid="{46DC8528-4146-4B8E-B45B-13994A05E37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D314-F9AC-45B3-B6DD-F07C44EEA148}">
  <sheetPr>
    <tabColor rgb="FFFF0000"/>
  </sheetPr>
  <dimension ref="A1:AC12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2" max="2" width="12.77734375" customWidth="1"/>
    <col min="3" max="3" width="10.88671875" customWidth="1"/>
    <col min="4" max="4" width="10.44140625" style="1" customWidth="1"/>
    <col min="5" max="5" width="14" style="1" customWidth="1"/>
    <col min="6" max="6" width="17" style="1" customWidth="1"/>
    <col min="7" max="7" width="13.44140625" customWidth="1"/>
    <col min="8" max="8" width="11" style="8" customWidth="1"/>
    <col min="9" max="9" width="13.44140625" style="8" customWidth="1"/>
    <col min="10" max="10" width="16.109375" style="8" customWidth="1"/>
    <col min="11" max="11" width="13" style="8" customWidth="1"/>
    <col min="12" max="12" width="7.88671875" customWidth="1"/>
    <col min="13" max="13" width="9.109375" bestFit="1" customWidth="1"/>
    <col min="14" max="15" width="9.109375" style="8" bestFit="1" customWidth="1"/>
    <col min="16" max="16" width="12.21875" style="8" customWidth="1"/>
    <col min="17" max="21" width="8.88671875" style="8"/>
    <col min="22" max="22" width="12.21875" style="8" customWidth="1"/>
    <col min="23" max="23" width="9.5546875" style="8" customWidth="1"/>
    <col min="24" max="24" width="8.88671875" style="8"/>
  </cols>
  <sheetData>
    <row r="1" spans="1:29" ht="28.8" x14ac:dyDescent="0.3">
      <c r="A1" s="7" t="s">
        <v>52</v>
      </c>
      <c r="B1" s="7" t="s">
        <v>24</v>
      </c>
      <c r="C1" s="7" t="s">
        <v>53</v>
      </c>
      <c r="D1" s="7" t="s">
        <v>46</v>
      </c>
      <c r="E1" s="7" t="s">
        <v>75</v>
      </c>
      <c r="F1" s="7" t="s">
        <v>76</v>
      </c>
      <c r="G1" s="7" t="s">
        <v>49</v>
      </c>
      <c r="H1" s="7" t="s">
        <v>47</v>
      </c>
      <c r="I1" s="7" t="s">
        <v>48</v>
      </c>
      <c r="J1" s="7" t="s">
        <v>8</v>
      </c>
      <c r="K1" s="7" t="s">
        <v>50</v>
      </c>
      <c r="L1" s="7" t="s">
        <v>45</v>
      </c>
      <c r="M1" s="7" t="s">
        <v>156</v>
      </c>
      <c r="N1" s="7" t="s">
        <v>157</v>
      </c>
      <c r="O1" s="7" t="s">
        <v>158</v>
      </c>
      <c r="P1" s="7" t="s">
        <v>159</v>
      </c>
      <c r="Q1" s="7" t="s">
        <v>160</v>
      </c>
      <c r="R1" s="7" t="s">
        <v>167</v>
      </c>
      <c r="S1" s="7" t="s">
        <v>162</v>
      </c>
      <c r="T1" s="7" t="s">
        <v>163</v>
      </c>
      <c r="U1" s="7" t="s">
        <v>164</v>
      </c>
      <c r="V1" s="7" t="s">
        <v>165</v>
      </c>
      <c r="W1" s="7" t="s">
        <v>166</v>
      </c>
      <c r="X1" s="7" t="s">
        <v>161</v>
      </c>
      <c r="Y1" s="7" t="s">
        <v>71</v>
      </c>
      <c r="Z1" s="7" t="s">
        <v>72</v>
      </c>
      <c r="AA1" s="7" t="s">
        <v>73</v>
      </c>
      <c r="AB1" s="7" t="s">
        <v>77</v>
      </c>
    </row>
    <row r="2" spans="1:29" ht="14.4" customHeight="1" x14ac:dyDescent="0.3">
      <c r="A2">
        <v>2024</v>
      </c>
      <c r="B2">
        <v>33</v>
      </c>
      <c r="C2" s="4" t="s">
        <v>79</v>
      </c>
      <c r="D2" s="10">
        <v>70.849999999999994</v>
      </c>
      <c r="E2" s="10"/>
      <c r="F2" s="10">
        <v>0</v>
      </c>
      <c r="G2" s="10"/>
      <c r="H2" s="10"/>
      <c r="I2" s="10"/>
      <c r="J2" s="11"/>
      <c r="K2" s="11"/>
      <c r="L2" s="4">
        <v>5480</v>
      </c>
      <c r="M2" s="14">
        <v>1600</v>
      </c>
      <c r="N2" s="14">
        <v>2400</v>
      </c>
      <c r="O2" s="9">
        <v>840</v>
      </c>
      <c r="P2" s="9">
        <v>640</v>
      </c>
      <c r="Q2" s="9">
        <v>0</v>
      </c>
      <c r="R2" s="11">
        <v>0</v>
      </c>
      <c r="S2" s="12"/>
      <c r="T2" s="12"/>
      <c r="U2" s="11"/>
      <c r="V2" s="11"/>
      <c r="W2" s="11"/>
      <c r="X2" s="11"/>
      <c r="Y2" s="39">
        <v>0</v>
      </c>
      <c r="Z2" s="8">
        <v>0</v>
      </c>
      <c r="AA2" s="39">
        <v>0</v>
      </c>
      <c r="AB2" s="39">
        <v>0</v>
      </c>
      <c r="AC2" s="7"/>
    </row>
    <row r="3" spans="1:29" ht="14.4" customHeight="1" x14ac:dyDescent="0.3">
      <c r="A3">
        <v>2024</v>
      </c>
      <c r="B3">
        <v>34</v>
      </c>
      <c r="C3" s="4" t="s">
        <v>80</v>
      </c>
      <c r="D3" s="10">
        <v>71.099999999999994</v>
      </c>
      <c r="E3" s="10"/>
      <c r="F3" s="10">
        <v>0</v>
      </c>
      <c r="G3" s="7"/>
      <c r="H3" s="10"/>
      <c r="I3" s="10"/>
      <c r="J3" s="11"/>
      <c r="K3" s="11"/>
      <c r="L3" s="4">
        <v>8460</v>
      </c>
      <c r="M3" s="14">
        <v>1760</v>
      </c>
      <c r="N3" s="14">
        <v>2400</v>
      </c>
      <c r="O3" s="9">
        <v>3020</v>
      </c>
      <c r="P3" s="9">
        <v>1280</v>
      </c>
      <c r="Q3" s="9">
        <v>0</v>
      </c>
      <c r="R3" s="11">
        <v>0</v>
      </c>
      <c r="S3" s="12"/>
      <c r="T3" s="12"/>
      <c r="U3" s="11"/>
      <c r="V3" s="11"/>
      <c r="W3" s="11"/>
      <c r="X3" s="11"/>
      <c r="Y3" s="39">
        <v>0</v>
      </c>
      <c r="Z3" s="8">
        <v>0</v>
      </c>
      <c r="AA3" s="39">
        <v>0</v>
      </c>
      <c r="AB3" s="39">
        <v>0</v>
      </c>
      <c r="AC3" s="7"/>
    </row>
    <row r="4" spans="1:29" ht="14.4" customHeight="1" x14ac:dyDescent="0.3">
      <c r="A4">
        <v>2024</v>
      </c>
      <c r="B4">
        <v>35</v>
      </c>
      <c r="C4" s="4" t="s">
        <v>81</v>
      </c>
      <c r="D4" s="10">
        <v>71</v>
      </c>
      <c r="E4" s="10"/>
      <c r="F4" s="10">
        <v>0</v>
      </c>
      <c r="G4" s="7"/>
      <c r="H4" s="10"/>
      <c r="I4" s="10"/>
      <c r="J4" s="11"/>
      <c r="K4" s="11"/>
      <c r="L4" s="4">
        <v>17318</v>
      </c>
      <c r="M4" s="14">
        <v>5360</v>
      </c>
      <c r="N4" s="14">
        <v>5152</v>
      </c>
      <c r="O4" s="9">
        <v>5276</v>
      </c>
      <c r="P4" s="9">
        <v>1530</v>
      </c>
      <c r="Q4" s="9">
        <v>0</v>
      </c>
      <c r="R4" s="11">
        <v>0</v>
      </c>
      <c r="S4" s="12"/>
      <c r="T4" s="12"/>
      <c r="U4" s="11"/>
      <c r="V4" s="11"/>
      <c r="W4" s="11"/>
      <c r="X4" s="11"/>
      <c r="Y4" s="39">
        <v>0</v>
      </c>
      <c r="Z4" s="8">
        <v>0</v>
      </c>
      <c r="AA4" s="39">
        <v>0</v>
      </c>
      <c r="AB4" s="39">
        <v>0</v>
      </c>
      <c r="AC4" s="7"/>
    </row>
    <row r="5" spans="1:29" ht="14.4" customHeight="1" x14ac:dyDescent="0.3">
      <c r="A5">
        <v>2024</v>
      </c>
      <c r="B5">
        <v>36</v>
      </c>
      <c r="C5" s="4" t="s">
        <v>82</v>
      </c>
      <c r="D5" s="10">
        <v>71.3</v>
      </c>
      <c r="E5" s="10"/>
      <c r="F5" s="10">
        <v>0</v>
      </c>
      <c r="G5" s="7"/>
      <c r="H5" s="10"/>
      <c r="I5" s="10"/>
      <c r="J5" s="11"/>
      <c r="K5" s="11"/>
      <c r="L5" s="4">
        <v>11660</v>
      </c>
      <c r="M5" s="14">
        <v>2880</v>
      </c>
      <c r="N5" s="14">
        <v>4680</v>
      </c>
      <c r="O5" s="9">
        <v>2380</v>
      </c>
      <c r="P5" s="9">
        <v>720</v>
      </c>
      <c r="Q5" s="9">
        <v>1000</v>
      </c>
      <c r="R5" s="11">
        <v>0</v>
      </c>
      <c r="S5" s="12"/>
      <c r="T5" s="12"/>
      <c r="U5" s="11"/>
      <c r="V5" s="11"/>
      <c r="W5" s="11"/>
      <c r="X5" s="11"/>
      <c r="Y5" s="39">
        <v>0</v>
      </c>
      <c r="Z5" s="8">
        <v>0</v>
      </c>
      <c r="AA5" s="39">
        <v>0</v>
      </c>
      <c r="AB5" s="39">
        <v>0</v>
      </c>
      <c r="AC5" s="7"/>
    </row>
    <row r="6" spans="1:29" ht="14.4" customHeight="1" x14ac:dyDescent="0.3">
      <c r="A6">
        <v>2024</v>
      </c>
      <c r="B6">
        <v>37</v>
      </c>
      <c r="C6" s="4" t="s">
        <v>83</v>
      </c>
      <c r="D6" s="10">
        <v>71.13333333333334</v>
      </c>
      <c r="E6" s="10"/>
      <c r="F6" s="10">
        <v>0</v>
      </c>
      <c r="G6" s="7"/>
      <c r="H6" s="10"/>
      <c r="I6" s="10"/>
      <c r="J6" s="11"/>
      <c r="K6" s="11"/>
      <c r="L6" s="4">
        <v>16116</v>
      </c>
      <c r="M6" s="14">
        <v>4820</v>
      </c>
      <c r="N6" s="14">
        <v>6560</v>
      </c>
      <c r="O6" s="9">
        <v>4080</v>
      </c>
      <c r="P6" s="9">
        <v>400</v>
      </c>
      <c r="Q6" s="9">
        <v>256</v>
      </c>
      <c r="R6" s="11">
        <v>0</v>
      </c>
      <c r="S6" s="12"/>
      <c r="T6" s="12"/>
      <c r="U6" s="11"/>
      <c r="V6" s="11"/>
      <c r="W6" s="11"/>
      <c r="X6" s="11"/>
      <c r="Y6" s="39">
        <v>50</v>
      </c>
      <c r="Z6" s="8">
        <v>8</v>
      </c>
      <c r="AA6" s="39">
        <v>50</v>
      </c>
      <c r="AB6" s="39">
        <v>0.83333333333333337</v>
      </c>
      <c r="AC6" s="7"/>
    </row>
    <row r="7" spans="1:29" ht="14.4" customHeight="1" x14ac:dyDescent="0.3">
      <c r="A7">
        <v>2024</v>
      </c>
      <c r="B7">
        <v>38</v>
      </c>
      <c r="C7" s="4" t="s">
        <v>84</v>
      </c>
      <c r="D7" s="10">
        <v>71.5</v>
      </c>
      <c r="E7" s="10"/>
      <c r="F7" s="10">
        <v>0</v>
      </c>
      <c r="G7" s="7"/>
      <c r="H7" s="10"/>
      <c r="I7" s="10"/>
      <c r="J7" s="11"/>
      <c r="K7" s="11"/>
      <c r="L7" s="4">
        <v>13556</v>
      </c>
      <c r="M7" s="14">
        <v>4052</v>
      </c>
      <c r="N7" s="14">
        <v>6388</v>
      </c>
      <c r="O7" s="9">
        <v>2432</v>
      </c>
      <c r="P7" s="9">
        <v>384</v>
      </c>
      <c r="Q7" s="9">
        <v>300</v>
      </c>
      <c r="R7" s="11">
        <v>0</v>
      </c>
      <c r="S7" s="12"/>
      <c r="T7" s="12"/>
      <c r="U7" s="11"/>
      <c r="V7" s="11"/>
      <c r="W7" s="11"/>
      <c r="X7" s="11"/>
      <c r="Y7" s="39">
        <v>69</v>
      </c>
      <c r="Z7" s="8">
        <v>10.7</v>
      </c>
      <c r="AA7" s="39">
        <v>69</v>
      </c>
      <c r="AB7" s="39">
        <v>1.1499999999999999</v>
      </c>
      <c r="AC7" s="7"/>
    </row>
    <row r="8" spans="1:29" ht="14.4" customHeight="1" x14ac:dyDescent="0.3">
      <c r="A8">
        <v>2024</v>
      </c>
      <c r="B8">
        <v>39</v>
      </c>
      <c r="C8" s="4" t="s">
        <v>85</v>
      </c>
      <c r="D8" s="10">
        <v>71.849999999999994</v>
      </c>
      <c r="E8" s="10"/>
      <c r="F8" s="10">
        <v>0</v>
      </c>
      <c r="G8" s="7"/>
      <c r="H8" s="10"/>
      <c r="I8" s="10"/>
      <c r="J8" s="11"/>
      <c r="K8" s="11"/>
      <c r="L8" s="4">
        <v>16400</v>
      </c>
      <c r="M8" s="14">
        <v>5520</v>
      </c>
      <c r="N8" s="14">
        <v>6720</v>
      </c>
      <c r="O8" s="9">
        <v>2240</v>
      </c>
      <c r="P8" s="9">
        <v>960</v>
      </c>
      <c r="Q8" s="9">
        <v>960</v>
      </c>
      <c r="R8" s="11">
        <v>0</v>
      </c>
      <c r="S8" s="12"/>
      <c r="T8" s="12"/>
      <c r="U8" s="11"/>
      <c r="V8" s="11"/>
      <c r="W8" s="11"/>
      <c r="X8" s="11"/>
      <c r="Y8" s="39">
        <v>61</v>
      </c>
      <c r="Z8" s="8">
        <v>10</v>
      </c>
      <c r="AA8" s="39">
        <v>61</v>
      </c>
      <c r="AB8" s="39">
        <v>1.0166666666666666</v>
      </c>
      <c r="AC8" s="7"/>
    </row>
    <row r="9" spans="1:29" ht="14.4" customHeight="1" x14ac:dyDescent="0.3">
      <c r="A9">
        <v>2024</v>
      </c>
      <c r="B9">
        <v>40</v>
      </c>
      <c r="C9" s="4" t="s">
        <v>86</v>
      </c>
      <c r="D9" s="10">
        <v>70.733333333333334</v>
      </c>
      <c r="E9" s="10"/>
      <c r="F9" s="10">
        <v>0</v>
      </c>
      <c r="G9" s="7"/>
      <c r="H9" s="10"/>
      <c r="I9" s="10"/>
      <c r="J9" s="11"/>
      <c r="K9" s="11"/>
      <c r="L9" s="4">
        <v>19560</v>
      </c>
      <c r="M9" s="14">
        <v>6400</v>
      </c>
      <c r="N9" s="14">
        <v>8280</v>
      </c>
      <c r="O9" s="9">
        <v>4240</v>
      </c>
      <c r="P9" s="9">
        <v>0</v>
      </c>
      <c r="Q9" s="9">
        <v>640</v>
      </c>
      <c r="R9" s="11">
        <v>0</v>
      </c>
      <c r="S9" s="12"/>
      <c r="T9" s="12"/>
      <c r="U9" s="11"/>
      <c r="V9" s="11"/>
      <c r="W9" s="11"/>
      <c r="X9" s="11"/>
      <c r="Y9" s="39">
        <v>24</v>
      </c>
      <c r="Z9" s="8">
        <v>4</v>
      </c>
      <c r="AA9" s="39">
        <v>24</v>
      </c>
      <c r="AB9" s="39">
        <v>0.4</v>
      </c>
      <c r="AC9" s="7"/>
    </row>
    <row r="10" spans="1:29" ht="14.4" customHeight="1" x14ac:dyDescent="0.3">
      <c r="A10">
        <v>2024</v>
      </c>
      <c r="B10">
        <v>41</v>
      </c>
      <c r="C10" s="4" t="s">
        <v>87</v>
      </c>
      <c r="D10" s="10">
        <v>71.099999999999994</v>
      </c>
      <c r="E10" s="10"/>
      <c r="F10" s="10">
        <v>0</v>
      </c>
      <c r="G10" s="7"/>
      <c r="H10" s="10"/>
      <c r="I10" s="10"/>
      <c r="J10" s="11"/>
      <c r="K10" s="11"/>
      <c r="L10" s="4">
        <v>21946</v>
      </c>
      <c r="M10" s="14">
        <v>8128</v>
      </c>
      <c r="N10" s="14">
        <v>7066</v>
      </c>
      <c r="O10" s="9">
        <v>5344</v>
      </c>
      <c r="P10" s="9">
        <v>640</v>
      </c>
      <c r="Q10" s="9">
        <v>768</v>
      </c>
      <c r="R10" s="11">
        <v>0</v>
      </c>
      <c r="S10" s="12"/>
      <c r="T10" s="12"/>
      <c r="U10" s="11"/>
      <c r="V10" s="11"/>
      <c r="W10" s="11"/>
      <c r="X10" s="11"/>
      <c r="Y10" s="39">
        <v>36</v>
      </c>
      <c r="Z10" s="8">
        <v>6</v>
      </c>
      <c r="AA10" s="39">
        <v>36</v>
      </c>
      <c r="AB10" s="39">
        <v>0.6</v>
      </c>
      <c r="AC10" s="7"/>
    </row>
    <row r="11" spans="1:29" ht="14.4" customHeight="1" x14ac:dyDescent="0.3">
      <c r="A11">
        <v>2024</v>
      </c>
      <c r="B11">
        <v>42</v>
      </c>
      <c r="C11" s="4" t="s">
        <v>88</v>
      </c>
      <c r="D11" s="10">
        <v>70.55</v>
      </c>
      <c r="E11" s="10"/>
      <c r="F11" s="10">
        <v>0</v>
      </c>
      <c r="G11" s="7"/>
      <c r="H11" s="10"/>
      <c r="I11" s="10"/>
      <c r="J11" s="11"/>
      <c r="K11" s="11"/>
      <c r="L11" s="4">
        <v>17876</v>
      </c>
      <c r="M11" s="14">
        <v>3840</v>
      </c>
      <c r="N11" s="14">
        <v>8448</v>
      </c>
      <c r="O11" s="9">
        <v>4820</v>
      </c>
      <c r="P11" s="9">
        <v>0</v>
      </c>
      <c r="Q11" s="9">
        <v>768</v>
      </c>
      <c r="R11" s="11">
        <v>0</v>
      </c>
      <c r="S11" s="12"/>
      <c r="T11" s="12"/>
      <c r="U11" s="11"/>
      <c r="V11" s="11"/>
      <c r="W11" s="11"/>
      <c r="X11" s="11"/>
      <c r="Y11" s="39">
        <v>68</v>
      </c>
      <c r="Z11" s="8">
        <v>11.3</v>
      </c>
      <c r="AA11" s="39">
        <v>68</v>
      </c>
      <c r="AB11" s="39">
        <v>1.1333333333333333</v>
      </c>
      <c r="AC11" s="7"/>
    </row>
    <row r="12" spans="1:29" ht="14.4" customHeight="1" x14ac:dyDescent="0.3">
      <c r="A12">
        <v>2024</v>
      </c>
      <c r="B12">
        <v>43</v>
      </c>
      <c r="C12" s="4" t="s">
        <v>89</v>
      </c>
      <c r="D12" s="10">
        <v>70.800000000000011</v>
      </c>
      <c r="E12" s="10"/>
      <c r="F12" s="10">
        <v>0</v>
      </c>
      <c r="G12" s="7"/>
      <c r="H12" s="10"/>
      <c r="I12" s="10"/>
      <c r="J12" s="11"/>
      <c r="K12" s="11"/>
      <c r="L12" s="4">
        <v>19477.599999999999</v>
      </c>
      <c r="M12" s="14">
        <v>4892</v>
      </c>
      <c r="N12" s="14">
        <v>5624</v>
      </c>
      <c r="O12" s="9">
        <v>8216</v>
      </c>
      <c r="P12" s="9">
        <v>0</v>
      </c>
      <c r="Q12" s="9">
        <v>745.6</v>
      </c>
      <c r="R12" s="11">
        <v>0</v>
      </c>
      <c r="S12" s="12"/>
      <c r="T12" s="12"/>
      <c r="U12" s="11"/>
      <c r="V12" s="11"/>
      <c r="W12" s="11"/>
      <c r="X12" s="11"/>
      <c r="Y12" s="39">
        <v>72</v>
      </c>
      <c r="Z12" s="8">
        <v>12.190000000000001</v>
      </c>
      <c r="AA12" s="39">
        <v>72</v>
      </c>
      <c r="AB12" s="39">
        <v>1.2</v>
      </c>
      <c r="AC12" s="7"/>
    </row>
    <row r="13" spans="1:29" ht="14.4" customHeight="1" x14ac:dyDescent="0.3">
      <c r="A13">
        <v>2024</v>
      </c>
      <c r="B13">
        <v>44</v>
      </c>
      <c r="C13" s="4" t="s">
        <v>90</v>
      </c>
      <c r="D13" s="10">
        <v>70.3</v>
      </c>
      <c r="E13" s="10"/>
      <c r="F13" s="10">
        <v>0</v>
      </c>
      <c r="G13" s="7"/>
      <c r="H13" s="10"/>
      <c r="I13" s="10"/>
      <c r="J13" s="11"/>
      <c r="K13" s="11"/>
      <c r="L13" s="4">
        <v>8150</v>
      </c>
      <c r="M13" s="14">
        <v>1920</v>
      </c>
      <c r="N13" s="14">
        <v>3590</v>
      </c>
      <c r="O13" s="9">
        <v>2640</v>
      </c>
      <c r="P13" s="9">
        <v>0</v>
      </c>
      <c r="Q13" s="9">
        <v>0</v>
      </c>
      <c r="R13" s="11">
        <v>0</v>
      </c>
      <c r="S13" s="12"/>
      <c r="T13" s="12"/>
      <c r="U13" s="11"/>
      <c r="V13" s="11"/>
      <c r="W13" s="11"/>
      <c r="X13" s="11"/>
      <c r="Y13" s="39">
        <v>0</v>
      </c>
      <c r="Z13" s="8">
        <v>0</v>
      </c>
      <c r="AA13" s="39">
        <v>0</v>
      </c>
      <c r="AB13" s="39">
        <v>0</v>
      </c>
      <c r="AC13" s="7"/>
    </row>
    <row r="14" spans="1:29" ht="14.4" customHeight="1" x14ac:dyDescent="0.3">
      <c r="A14">
        <v>2024</v>
      </c>
      <c r="B14">
        <v>45</v>
      </c>
      <c r="C14" s="4" t="s">
        <v>91</v>
      </c>
      <c r="D14" s="10">
        <v>69.97999999999999</v>
      </c>
      <c r="E14" s="10"/>
      <c r="F14" s="10">
        <v>0</v>
      </c>
      <c r="G14" s="7"/>
      <c r="H14" s="10"/>
      <c r="I14" s="10"/>
      <c r="J14" s="11"/>
      <c r="K14" s="11"/>
      <c r="L14" s="4">
        <v>27730</v>
      </c>
      <c r="M14" s="14">
        <v>5400</v>
      </c>
      <c r="N14" s="14">
        <v>11130</v>
      </c>
      <c r="O14" s="9">
        <v>10560</v>
      </c>
      <c r="P14" s="9">
        <v>640</v>
      </c>
      <c r="Q14" s="9">
        <v>0</v>
      </c>
      <c r="R14" s="11">
        <v>0</v>
      </c>
      <c r="S14" s="12"/>
      <c r="T14" s="12"/>
      <c r="U14" s="11"/>
      <c r="V14" s="11"/>
      <c r="W14" s="11"/>
      <c r="X14" s="11"/>
      <c r="Y14" s="39">
        <v>66</v>
      </c>
      <c r="Z14" s="8">
        <v>11.11</v>
      </c>
      <c r="AA14" s="39">
        <v>66</v>
      </c>
      <c r="AB14" s="39">
        <v>1.1000000000000001</v>
      </c>
      <c r="AC14" s="7"/>
    </row>
    <row r="15" spans="1:29" ht="14.4" customHeight="1" x14ac:dyDescent="0.3">
      <c r="A15">
        <v>2024</v>
      </c>
      <c r="B15">
        <v>46</v>
      </c>
      <c r="C15" s="4" t="s">
        <v>92</v>
      </c>
      <c r="D15" s="10">
        <v>69.75</v>
      </c>
      <c r="E15" s="10"/>
      <c r="F15" s="10">
        <v>0</v>
      </c>
      <c r="G15" s="7"/>
      <c r="H15" s="10"/>
      <c r="I15" s="10"/>
      <c r="J15" s="11"/>
      <c r="K15" s="11"/>
      <c r="L15" s="4">
        <v>16393.599999999999</v>
      </c>
      <c r="M15" s="14">
        <v>3072</v>
      </c>
      <c r="N15" s="14">
        <v>4563.2</v>
      </c>
      <c r="O15" s="9">
        <v>8278.4</v>
      </c>
      <c r="P15" s="9">
        <v>0</v>
      </c>
      <c r="Q15" s="9">
        <v>480</v>
      </c>
      <c r="R15" s="11">
        <v>0</v>
      </c>
      <c r="S15" s="12"/>
      <c r="T15" s="12"/>
      <c r="U15" s="11"/>
      <c r="V15" s="11"/>
      <c r="W15" s="11"/>
      <c r="X15" s="11"/>
      <c r="Y15" s="39">
        <v>67</v>
      </c>
      <c r="Z15" s="8">
        <v>11.92</v>
      </c>
      <c r="AA15" s="39">
        <v>67</v>
      </c>
      <c r="AB15" s="39">
        <v>1.1166666666666667</v>
      </c>
      <c r="AC15" s="7"/>
    </row>
    <row r="16" spans="1:29" ht="14.4" customHeight="1" x14ac:dyDescent="0.3">
      <c r="A16">
        <v>2024</v>
      </c>
      <c r="B16">
        <v>47</v>
      </c>
      <c r="C16" s="4" t="s">
        <v>93</v>
      </c>
      <c r="D16" s="10">
        <v>70.424999999999997</v>
      </c>
      <c r="E16" s="10"/>
      <c r="F16" s="10">
        <v>0</v>
      </c>
      <c r="G16" s="7"/>
      <c r="H16" s="10"/>
      <c r="I16" s="10"/>
      <c r="J16" s="11"/>
      <c r="K16" s="11"/>
      <c r="L16" s="4">
        <v>19520</v>
      </c>
      <c r="M16" s="14">
        <v>7200</v>
      </c>
      <c r="N16" s="14">
        <v>5440</v>
      </c>
      <c r="O16" s="9">
        <v>6080</v>
      </c>
      <c r="P16" s="9">
        <v>800</v>
      </c>
      <c r="Q16" s="9">
        <v>0</v>
      </c>
      <c r="R16" s="11">
        <v>0</v>
      </c>
      <c r="S16" s="12"/>
      <c r="T16" s="12"/>
      <c r="U16" s="11"/>
      <c r="V16" s="11"/>
      <c r="W16" s="11"/>
      <c r="X16" s="11"/>
      <c r="Y16" s="39">
        <v>92</v>
      </c>
      <c r="Z16" s="8">
        <v>15.3</v>
      </c>
      <c r="AA16" s="39">
        <v>92</v>
      </c>
      <c r="AB16" s="39">
        <v>1.5333333333333334</v>
      </c>
      <c r="AC16" s="7"/>
    </row>
    <row r="17" spans="1:29" ht="14.4" customHeight="1" x14ac:dyDescent="0.3">
      <c r="A17">
        <v>2024</v>
      </c>
      <c r="B17">
        <v>48</v>
      </c>
      <c r="C17" s="4" t="s">
        <v>94</v>
      </c>
      <c r="D17" s="10">
        <v>69.666666666666671</v>
      </c>
      <c r="E17" s="10"/>
      <c r="F17" s="10">
        <v>0</v>
      </c>
      <c r="G17" s="7"/>
      <c r="H17" s="10"/>
      <c r="I17" s="10"/>
      <c r="J17" s="11"/>
      <c r="K17" s="11"/>
      <c r="L17" s="4">
        <v>19984</v>
      </c>
      <c r="M17" s="14">
        <v>6080</v>
      </c>
      <c r="N17" s="14">
        <v>7680</v>
      </c>
      <c r="O17" s="9">
        <v>5840</v>
      </c>
      <c r="P17" s="9">
        <v>0</v>
      </c>
      <c r="Q17" s="9">
        <v>384</v>
      </c>
      <c r="R17" s="11">
        <v>0</v>
      </c>
      <c r="S17" s="12"/>
      <c r="T17" s="12"/>
      <c r="U17" s="11"/>
      <c r="V17" s="11"/>
      <c r="W17" s="11"/>
      <c r="X17" s="11"/>
      <c r="Y17" s="39">
        <v>97</v>
      </c>
      <c r="Z17" s="8">
        <v>16</v>
      </c>
      <c r="AA17" s="39">
        <v>97</v>
      </c>
      <c r="AB17" s="39">
        <v>1.6166666666666667</v>
      </c>
      <c r="AC17" s="7"/>
    </row>
    <row r="18" spans="1:29" ht="14.4" customHeight="1" x14ac:dyDescent="0.3">
      <c r="A18">
        <v>2024</v>
      </c>
      <c r="B18">
        <v>49</v>
      </c>
      <c r="C18" s="4" t="s">
        <v>95</v>
      </c>
      <c r="D18" s="10">
        <v>70.024999999999991</v>
      </c>
      <c r="E18" s="10"/>
      <c r="F18" s="10">
        <v>0</v>
      </c>
      <c r="G18" s="7"/>
      <c r="H18" s="10"/>
      <c r="I18" s="10"/>
      <c r="J18" s="11"/>
      <c r="K18" s="11"/>
      <c r="L18" s="4">
        <v>20300</v>
      </c>
      <c r="M18" s="14">
        <v>8080</v>
      </c>
      <c r="N18" s="14">
        <v>7540</v>
      </c>
      <c r="O18" s="9">
        <v>4040</v>
      </c>
      <c r="P18" s="9">
        <v>0</v>
      </c>
      <c r="Q18" s="9">
        <v>640</v>
      </c>
      <c r="R18" s="11">
        <v>0</v>
      </c>
      <c r="S18" s="12"/>
      <c r="T18" s="12"/>
      <c r="U18" s="11"/>
      <c r="V18" s="11"/>
      <c r="W18" s="11"/>
      <c r="X18" s="11"/>
      <c r="Y18" s="39">
        <v>90</v>
      </c>
      <c r="Z18" s="8">
        <v>15.5</v>
      </c>
      <c r="AA18" s="39">
        <v>90</v>
      </c>
      <c r="AB18" s="39">
        <v>1.5</v>
      </c>
      <c r="AC18" s="7"/>
    </row>
    <row r="19" spans="1:29" ht="14.4" customHeight="1" x14ac:dyDescent="0.3">
      <c r="A19">
        <v>2024</v>
      </c>
      <c r="B19">
        <v>50</v>
      </c>
      <c r="C19" s="4" t="s">
        <v>96</v>
      </c>
      <c r="D19" s="10">
        <v>70.140000000000015</v>
      </c>
      <c r="E19" s="10"/>
      <c r="F19" s="10">
        <v>0</v>
      </c>
      <c r="G19" s="7"/>
      <c r="H19" s="10"/>
      <c r="I19" s="10"/>
      <c r="J19" s="11"/>
      <c r="K19" s="11"/>
      <c r="L19" s="4">
        <v>8880</v>
      </c>
      <c r="M19" s="14">
        <v>2080</v>
      </c>
      <c r="N19" s="14">
        <v>3840</v>
      </c>
      <c r="O19" s="9">
        <v>2960</v>
      </c>
      <c r="P19" s="9">
        <v>0</v>
      </c>
      <c r="Q19" s="9">
        <v>0</v>
      </c>
      <c r="R19" s="11">
        <v>0</v>
      </c>
      <c r="S19" s="12"/>
      <c r="T19" s="12"/>
      <c r="U19" s="11"/>
      <c r="V19" s="11"/>
      <c r="W19" s="11"/>
      <c r="X19" s="11"/>
      <c r="Y19" s="39">
        <v>112</v>
      </c>
      <c r="Z19" s="8">
        <v>19.5</v>
      </c>
      <c r="AA19" s="39">
        <v>112</v>
      </c>
      <c r="AB19" s="39">
        <v>1.8666666666666667</v>
      </c>
      <c r="AC19" s="7"/>
    </row>
    <row r="20" spans="1:29" ht="14.4" customHeight="1" x14ac:dyDescent="0.3">
      <c r="A20">
        <v>2024</v>
      </c>
      <c r="B20">
        <v>51</v>
      </c>
      <c r="C20" s="4" t="s">
        <v>97</v>
      </c>
      <c r="D20" s="10">
        <v>70.140000000000015</v>
      </c>
      <c r="E20" s="10"/>
      <c r="F20" s="10">
        <v>0</v>
      </c>
      <c r="G20" s="7"/>
      <c r="H20" s="10"/>
      <c r="I20" s="10"/>
      <c r="J20" s="11"/>
      <c r="K20" s="11"/>
      <c r="L20" s="4">
        <v>11800</v>
      </c>
      <c r="M20" s="14">
        <v>4360</v>
      </c>
      <c r="N20" s="14">
        <v>3920</v>
      </c>
      <c r="O20" s="9">
        <v>3520</v>
      </c>
      <c r="P20" s="9">
        <v>0</v>
      </c>
      <c r="Q20" s="9">
        <v>0</v>
      </c>
      <c r="R20" s="11">
        <v>0</v>
      </c>
      <c r="S20" s="12"/>
      <c r="T20" s="12"/>
      <c r="U20" s="11"/>
      <c r="V20" s="11"/>
      <c r="W20" s="11"/>
      <c r="X20" s="11"/>
      <c r="Y20" s="39">
        <v>32</v>
      </c>
      <c r="Z20" s="8">
        <v>5.5</v>
      </c>
      <c r="AA20" s="39">
        <v>32</v>
      </c>
      <c r="AB20" s="39">
        <v>0.53333333333333333</v>
      </c>
      <c r="AC20" s="7"/>
    </row>
    <row r="21" spans="1:29" ht="14.4" customHeight="1" x14ac:dyDescent="0.3">
      <c r="A21">
        <v>2024</v>
      </c>
      <c r="B21">
        <v>52</v>
      </c>
      <c r="C21" s="4" t="s">
        <v>98</v>
      </c>
      <c r="D21" s="10">
        <v>71.5</v>
      </c>
      <c r="E21" s="10"/>
      <c r="F21" s="10">
        <v>0</v>
      </c>
      <c r="G21" s="7"/>
      <c r="H21" s="10"/>
      <c r="I21" s="10"/>
      <c r="J21" s="11"/>
      <c r="K21" s="11"/>
      <c r="L21" s="4">
        <v>0</v>
      </c>
      <c r="M21" s="14">
        <v>0</v>
      </c>
      <c r="N21" s="14">
        <v>0</v>
      </c>
      <c r="O21" s="9">
        <v>0</v>
      </c>
      <c r="P21" s="9">
        <v>0</v>
      </c>
      <c r="Q21" s="9">
        <v>0</v>
      </c>
      <c r="R21" s="11">
        <v>0</v>
      </c>
      <c r="S21" s="12"/>
      <c r="T21" s="12"/>
      <c r="U21" s="11"/>
      <c r="V21" s="11"/>
      <c r="W21" s="11"/>
      <c r="X21" s="11"/>
      <c r="Y21" s="39">
        <v>130</v>
      </c>
      <c r="Z21" s="8">
        <v>22.4</v>
      </c>
      <c r="AA21" s="39">
        <v>130</v>
      </c>
      <c r="AB21" s="39">
        <v>2.1666666666666665</v>
      </c>
      <c r="AC21" s="7"/>
    </row>
    <row r="22" spans="1:29" ht="14.4" customHeight="1" x14ac:dyDescent="0.3">
      <c r="A22">
        <v>2024</v>
      </c>
      <c r="B22">
        <v>53</v>
      </c>
      <c r="C22" s="4" t="s">
        <v>99</v>
      </c>
      <c r="D22" s="10">
        <v>70</v>
      </c>
      <c r="E22" s="10"/>
      <c r="F22" s="10">
        <v>0</v>
      </c>
      <c r="G22" s="7"/>
      <c r="H22" s="10"/>
      <c r="I22" s="10"/>
      <c r="J22" s="11"/>
      <c r="K22" s="11"/>
      <c r="L22" s="4">
        <v>0</v>
      </c>
      <c r="M22" s="14">
        <v>0</v>
      </c>
      <c r="N22" s="14">
        <v>0</v>
      </c>
      <c r="O22" s="9">
        <v>0</v>
      </c>
      <c r="P22" s="9">
        <v>0</v>
      </c>
      <c r="Q22" s="9">
        <v>0</v>
      </c>
      <c r="R22" s="11">
        <v>0</v>
      </c>
      <c r="S22" s="12"/>
      <c r="T22" s="12"/>
      <c r="U22" s="11"/>
      <c r="V22" s="11"/>
      <c r="W22" s="11"/>
      <c r="X22" s="11"/>
      <c r="Y22" s="39">
        <v>61</v>
      </c>
      <c r="Z22" s="8">
        <v>10.3</v>
      </c>
      <c r="AA22" s="39">
        <v>61</v>
      </c>
      <c r="AB22" s="39">
        <v>1.0166666666666666</v>
      </c>
      <c r="AC22" s="7"/>
    </row>
    <row r="23" spans="1:29" ht="14.4" customHeight="1" x14ac:dyDescent="0.3">
      <c r="A23">
        <v>2025</v>
      </c>
      <c r="B23">
        <v>1</v>
      </c>
      <c r="C23" s="4" t="s">
        <v>100</v>
      </c>
      <c r="D23" s="10">
        <v>69.75</v>
      </c>
      <c r="E23" s="10"/>
      <c r="F23" s="10">
        <v>0</v>
      </c>
      <c r="G23" s="10">
        <v>69.75</v>
      </c>
      <c r="H23" s="10"/>
      <c r="I23" s="10"/>
      <c r="J23" s="11"/>
      <c r="K23" s="11"/>
      <c r="L23" s="4">
        <v>0</v>
      </c>
      <c r="M23" s="14">
        <v>0</v>
      </c>
      <c r="N23" s="14">
        <v>0</v>
      </c>
      <c r="O23" s="9">
        <v>0</v>
      </c>
      <c r="P23" s="9">
        <v>0</v>
      </c>
      <c r="Q23" s="9">
        <v>0</v>
      </c>
      <c r="R23" s="11">
        <v>0</v>
      </c>
      <c r="S23" s="12"/>
      <c r="T23" s="12"/>
      <c r="U23" s="11"/>
      <c r="V23" s="11"/>
      <c r="W23" s="11"/>
      <c r="X23" s="11"/>
      <c r="Y23" s="39">
        <v>103</v>
      </c>
      <c r="Z23" s="8">
        <v>18</v>
      </c>
      <c r="AA23" s="39">
        <v>103</v>
      </c>
      <c r="AB23" s="39">
        <v>1.7166666666666666</v>
      </c>
      <c r="AC23" s="7"/>
    </row>
    <row r="24" spans="1:29" ht="14.4" customHeight="1" x14ac:dyDescent="0.3">
      <c r="A24">
        <v>2025</v>
      </c>
      <c r="B24">
        <v>2</v>
      </c>
      <c r="C24" s="4" t="s">
        <v>101</v>
      </c>
      <c r="D24" s="10">
        <v>69.5</v>
      </c>
      <c r="E24" s="10"/>
      <c r="F24" s="10">
        <v>0</v>
      </c>
      <c r="G24" s="10">
        <v>69.5</v>
      </c>
      <c r="H24" s="10"/>
      <c r="I24" s="10"/>
      <c r="J24" s="11">
        <v>1800</v>
      </c>
      <c r="K24" s="11">
        <v>779</v>
      </c>
      <c r="L24" s="4">
        <v>0</v>
      </c>
      <c r="M24" s="14">
        <v>0</v>
      </c>
      <c r="N24" s="14">
        <v>0</v>
      </c>
      <c r="O24" s="9">
        <v>0</v>
      </c>
      <c r="P24" s="9">
        <v>0</v>
      </c>
      <c r="Q24" s="9">
        <v>0</v>
      </c>
      <c r="R24" s="11">
        <v>0</v>
      </c>
      <c r="S24" s="12"/>
      <c r="T24" s="12"/>
      <c r="U24" s="11"/>
      <c r="V24" s="11"/>
      <c r="W24" s="11"/>
      <c r="X24" s="11"/>
      <c r="Y24" s="39">
        <v>142</v>
      </c>
      <c r="Z24" s="8">
        <v>25</v>
      </c>
      <c r="AA24" s="39">
        <v>142</v>
      </c>
      <c r="AB24" s="39">
        <v>2.3666666666666667</v>
      </c>
      <c r="AC24" s="7"/>
    </row>
    <row r="25" spans="1:29" ht="14.4" customHeight="1" x14ac:dyDescent="0.3">
      <c r="A25">
        <v>2025</v>
      </c>
      <c r="B25">
        <v>3</v>
      </c>
      <c r="C25" s="4" t="s">
        <v>102</v>
      </c>
      <c r="D25" s="10">
        <v>68.766666666666666</v>
      </c>
      <c r="E25" s="10"/>
      <c r="F25" s="10">
        <v>0</v>
      </c>
      <c r="G25" s="10">
        <v>68.766666666666666</v>
      </c>
      <c r="H25" s="10"/>
      <c r="I25" s="10"/>
      <c r="J25" s="11">
        <v>1799</v>
      </c>
      <c r="K25" s="11">
        <v>631</v>
      </c>
      <c r="L25" s="4">
        <v>14704</v>
      </c>
      <c r="M25" s="14">
        <v>2880</v>
      </c>
      <c r="N25" s="14">
        <v>6800</v>
      </c>
      <c r="O25" s="9">
        <v>3680</v>
      </c>
      <c r="P25" s="9">
        <v>480</v>
      </c>
      <c r="Q25" s="9">
        <v>864</v>
      </c>
      <c r="R25" s="11">
        <v>0</v>
      </c>
      <c r="S25" s="12"/>
      <c r="T25" s="12"/>
      <c r="U25" s="11"/>
      <c r="V25" s="11"/>
      <c r="W25" s="11"/>
      <c r="X25" s="11"/>
      <c r="Y25" s="39">
        <v>89</v>
      </c>
      <c r="Z25" s="8">
        <v>16.3</v>
      </c>
      <c r="AA25" s="39">
        <v>89</v>
      </c>
      <c r="AB25" s="39">
        <v>1.4833333333333334</v>
      </c>
      <c r="AC25" s="7"/>
    </row>
    <row r="26" spans="1:29" ht="14.4" customHeight="1" x14ac:dyDescent="0.3">
      <c r="A26">
        <v>2025</v>
      </c>
      <c r="B26">
        <v>4</v>
      </c>
      <c r="C26" s="4" t="s">
        <v>103</v>
      </c>
      <c r="D26" s="10">
        <v>68.766666666666666</v>
      </c>
      <c r="E26" s="10"/>
      <c r="F26" s="10">
        <v>0</v>
      </c>
      <c r="G26" s="10">
        <v>68.766666666666666</v>
      </c>
      <c r="H26" s="10"/>
      <c r="I26" s="10"/>
      <c r="J26" s="11">
        <v>1780</v>
      </c>
      <c r="K26" s="11">
        <v>607</v>
      </c>
      <c r="L26" s="4">
        <v>0</v>
      </c>
      <c r="M26" s="14">
        <v>0</v>
      </c>
      <c r="N26" s="14">
        <v>0</v>
      </c>
      <c r="O26" s="9">
        <v>0</v>
      </c>
      <c r="P26" s="9">
        <v>0</v>
      </c>
      <c r="Q26" s="9">
        <v>0</v>
      </c>
      <c r="R26" s="11">
        <v>0</v>
      </c>
      <c r="S26" s="12"/>
      <c r="T26" s="12"/>
      <c r="U26" s="11"/>
      <c r="V26" s="11"/>
      <c r="W26" s="11"/>
      <c r="X26" s="11"/>
      <c r="Y26" s="39">
        <v>62</v>
      </c>
      <c r="Z26" s="8">
        <v>12.6</v>
      </c>
      <c r="AA26" s="39">
        <v>62</v>
      </c>
      <c r="AB26" s="39">
        <v>1.0333333333333334</v>
      </c>
      <c r="AC26" s="7"/>
    </row>
    <row r="27" spans="1:29" ht="14.4" customHeight="1" x14ac:dyDescent="0.3">
      <c r="A27">
        <v>2025</v>
      </c>
      <c r="B27">
        <v>5</v>
      </c>
      <c r="C27" s="4" t="s">
        <v>104</v>
      </c>
      <c r="D27" s="10">
        <v>68.766666666666666</v>
      </c>
      <c r="E27" s="10"/>
      <c r="F27" s="10">
        <v>0</v>
      </c>
      <c r="G27" s="10">
        <v>68.766666666666666</v>
      </c>
      <c r="H27" s="10"/>
      <c r="I27" s="10"/>
      <c r="J27" s="11">
        <v>1753</v>
      </c>
      <c r="K27" s="11">
        <v>662</v>
      </c>
      <c r="L27" s="4">
        <v>0</v>
      </c>
      <c r="M27" s="14">
        <v>0</v>
      </c>
      <c r="N27" s="14">
        <v>0</v>
      </c>
      <c r="O27" s="9">
        <v>0</v>
      </c>
      <c r="P27" s="9">
        <v>0</v>
      </c>
      <c r="Q27" s="9">
        <v>0</v>
      </c>
      <c r="R27" s="11">
        <v>0</v>
      </c>
      <c r="S27" s="12"/>
      <c r="T27" s="12"/>
      <c r="U27" s="11"/>
      <c r="V27" s="11"/>
      <c r="W27" s="11"/>
      <c r="X27" s="11"/>
      <c r="Y27" s="39">
        <v>109</v>
      </c>
      <c r="Z27" s="8">
        <v>19.55</v>
      </c>
      <c r="AA27" s="39">
        <v>109</v>
      </c>
      <c r="AB27" s="39">
        <v>1.8166666666666667</v>
      </c>
      <c r="AC27" s="7"/>
    </row>
    <row r="28" spans="1:29" ht="14.4" customHeight="1" x14ac:dyDescent="0.3">
      <c r="A28">
        <v>2025</v>
      </c>
      <c r="B28">
        <v>6</v>
      </c>
      <c r="C28" s="4" t="s">
        <v>105</v>
      </c>
      <c r="D28" s="10">
        <v>68.766666666666666</v>
      </c>
      <c r="E28" s="10"/>
      <c r="F28" s="10">
        <v>0</v>
      </c>
      <c r="G28" s="10">
        <v>68.766666666666666</v>
      </c>
      <c r="H28" s="10"/>
      <c r="I28" s="10"/>
      <c r="J28" s="11">
        <v>1767</v>
      </c>
      <c r="K28" s="11">
        <v>618</v>
      </c>
      <c r="L28" s="4">
        <v>0</v>
      </c>
      <c r="M28" s="14">
        <v>0</v>
      </c>
      <c r="N28" s="14">
        <v>0</v>
      </c>
      <c r="O28" s="9">
        <v>0</v>
      </c>
      <c r="P28" s="9">
        <v>0</v>
      </c>
      <c r="Q28" s="9">
        <v>0</v>
      </c>
      <c r="R28" s="11">
        <v>0</v>
      </c>
      <c r="S28" s="12"/>
      <c r="T28" s="12"/>
      <c r="U28" s="11"/>
      <c r="V28" s="11"/>
      <c r="W28" s="11"/>
      <c r="X28" s="11"/>
      <c r="Y28" s="39">
        <v>146</v>
      </c>
      <c r="Z28" s="8">
        <v>26.8</v>
      </c>
      <c r="AA28" s="39">
        <v>146</v>
      </c>
      <c r="AB28" s="39">
        <v>2.4333333333333331</v>
      </c>
      <c r="AC28" s="7"/>
    </row>
    <row r="29" spans="1:29" ht="14.4" customHeight="1" x14ac:dyDescent="0.3">
      <c r="A29">
        <v>2025</v>
      </c>
      <c r="B29">
        <v>7</v>
      </c>
      <c r="C29" s="4" t="s">
        <v>106</v>
      </c>
      <c r="D29" s="10">
        <v>68.766666666666666</v>
      </c>
      <c r="E29" s="10"/>
      <c r="F29" s="10">
        <v>0</v>
      </c>
      <c r="G29" s="10">
        <v>68.766666666666666</v>
      </c>
      <c r="H29" s="10"/>
      <c r="I29" s="10"/>
      <c r="J29" s="11">
        <v>1759</v>
      </c>
      <c r="K29" s="11">
        <v>607</v>
      </c>
      <c r="L29" s="4">
        <v>0</v>
      </c>
      <c r="M29" s="14">
        <v>0</v>
      </c>
      <c r="N29" s="14">
        <v>0</v>
      </c>
      <c r="O29" s="9">
        <v>0</v>
      </c>
      <c r="P29" s="9">
        <v>0</v>
      </c>
      <c r="Q29" s="9">
        <v>0</v>
      </c>
      <c r="R29" s="11">
        <v>0</v>
      </c>
      <c r="S29" s="12"/>
      <c r="T29" s="12"/>
      <c r="U29" s="11"/>
      <c r="V29" s="11"/>
      <c r="W29" s="11"/>
      <c r="X29" s="11"/>
      <c r="Y29" s="39">
        <v>88</v>
      </c>
      <c r="Z29" s="8">
        <v>16.760000000000002</v>
      </c>
      <c r="AA29" s="39">
        <v>88</v>
      </c>
      <c r="AB29" s="39">
        <v>1.4666666666666666</v>
      </c>
      <c r="AC29" s="7"/>
    </row>
    <row r="30" spans="1:29" ht="14.4" customHeight="1" x14ac:dyDescent="0.3">
      <c r="A30">
        <v>2025</v>
      </c>
      <c r="B30">
        <v>8</v>
      </c>
      <c r="C30" s="4" t="s">
        <v>107</v>
      </c>
      <c r="D30" s="10">
        <v>68.766666666666666</v>
      </c>
      <c r="E30" s="10"/>
      <c r="F30" s="10">
        <v>0</v>
      </c>
      <c r="G30" s="10">
        <v>68.766666666666666</v>
      </c>
      <c r="H30" s="10"/>
      <c r="I30" s="10"/>
      <c r="J30" s="11">
        <v>1757</v>
      </c>
      <c r="K30" s="11">
        <v>623</v>
      </c>
      <c r="L30" s="4">
        <v>0</v>
      </c>
      <c r="M30" s="14">
        <v>0</v>
      </c>
      <c r="N30" s="14">
        <v>0</v>
      </c>
      <c r="O30" s="9">
        <v>0</v>
      </c>
      <c r="P30" s="9">
        <v>0</v>
      </c>
      <c r="Q30" s="9">
        <v>0</v>
      </c>
      <c r="R30" s="11">
        <v>0</v>
      </c>
      <c r="S30" s="12"/>
      <c r="T30" s="12"/>
      <c r="U30" s="11"/>
      <c r="V30" s="11"/>
      <c r="W30" s="11"/>
      <c r="X30" s="11"/>
      <c r="Y30" s="39">
        <v>105</v>
      </c>
      <c r="Z30" s="8">
        <v>18.600000000000001</v>
      </c>
      <c r="AA30" s="39">
        <v>105</v>
      </c>
      <c r="AB30" s="39">
        <v>1.75</v>
      </c>
      <c r="AC30" s="7"/>
    </row>
    <row r="31" spans="1:29" ht="14.4" customHeight="1" x14ac:dyDescent="0.3">
      <c r="A31">
        <v>2025</v>
      </c>
      <c r="B31">
        <v>9</v>
      </c>
      <c r="C31" s="4" t="s">
        <v>108</v>
      </c>
      <c r="D31" s="10">
        <v>68.033333333333331</v>
      </c>
      <c r="E31" s="10"/>
      <c r="F31" s="10">
        <v>-4039</v>
      </c>
      <c r="G31" s="10">
        <v>68.033333333333331</v>
      </c>
      <c r="H31" s="10">
        <v>1.8009999999999999</v>
      </c>
      <c r="I31" s="10">
        <v>126</v>
      </c>
      <c r="J31" s="11">
        <v>1736</v>
      </c>
      <c r="K31" s="11">
        <v>642</v>
      </c>
      <c r="L31" s="4">
        <v>15250</v>
      </c>
      <c r="M31" s="14">
        <v>3650</v>
      </c>
      <c r="N31" s="14">
        <v>6190</v>
      </c>
      <c r="O31" s="9">
        <v>4450</v>
      </c>
      <c r="P31" s="9">
        <v>0</v>
      </c>
      <c r="Q31" s="9">
        <v>960</v>
      </c>
      <c r="R31" s="11">
        <v>0</v>
      </c>
      <c r="S31" s="12"/>
      <c r="T31" s="12"/>
      <c r="U31" s="11"/>
      <c r="V31" s="11"/>
      <c r="W31" s="11"/>
      <c r="X31" s="11"/>
      <c r="Y31" s="39">
        <v>126</v>
      </c>
      <c r="Z31" s="8">
        <v>23.25</v>
      </c>
      <c r="AA31" s="39">
        <v>126</v>
      </c>
      <c r="AB31" s="39">
        <v>2.1</v>
      </c>
      <c r="AC31" s="7"/>
    </row>
    <row r="32" spans="1:29" ht="14.4" customHeight="1" x14ac:dyDescent="0.3">
      <c r="A32">
        <v>2025</v>
      </c>
      <c r="B32">
        <v>10</v>
      </c>
      <c r="C32" s="4" t="s">
        <v>109</v>
      </c>
      <c r="D32" s="10">
        <v>67.949999999999989</v>
      </c>
      <c r="E32" s="10"/>
      <c r="F32" s="10">
        <v>-3829</v>
      </c>
      <c r="G32" s="10">
        <v>67.554708333333338</v>
      </c>
      <c r="H32" s="10">
        <v>1.8340000000000001</v>
      </c>
      <c r="I32" s="10">
        <v>127</v>
      </c>
      <c r="J32" s="11">
        <v>1720</v>
      </c>
      <c r="K32" s="11">
        <v>661</v>
      </c>
      <c r="L32" s="4">
        <v>12800</v>
      </c>
      <c r="M32" s="14">
        <v>4635</v>
      </c>
      <c r="N32" s="14">
        <v>3745</v>
      </c>
      <c r="O32" s="9">
        <v>3100</v>
      </c>
      <c r="P32" s="9">
        <v>0</v>
      </c>
      <c r="Q32" s="9">
        <v>1320</v>
      </c>
      <c r="R32" s="11">
        <v>0</v>
      </c>
      <c r="S32" s="12"/>
      <c r="T32" s="12"/>
      <c r="U32" s="11"/>
      <c r="V32" s="11"/>
      <c r="W32" s="11"/>
      <c r="X32" s="11"/>
      <c r="Y32" s="39">
        <v>143</v>
      </c>
      <c r="Z32" s="8">
        <v>23.86</v>
      </c>
      <c r="AA32" s="39">
        <v>143</v>
      </c>
      <c r="AB32" s="39">
        <v>2.3833333333333333</v>
      </c>
      <c r="AC32" s="7"/>
    </row>
    <row r="33" spans="1:29" ht="14.4" customHeight="1" x14ac:dyDescent="0.3">
      <c r="A33">
        <v>2025</v>
      </c>
      <c r="B33">
        <v>11</v>
      </c>
      <c r="C33" s="4" t="s">
        <v>110</v>
      </c>
      <c r="D33" s="10">
        <v>67.36666666666666</v>
      </c>
      <c r="E33" s="10"/>
      <c r="F33" s="10">
        <v>-4445</v>
      </c>
      <c r="G33" s="10">
        <v>67.394374999999982</v>
      </c>
      <c r="H33" s="10">
        <v>1.911</v>
      </c>
      <c r="I33" s="10">
        <v>137</v>
      </c>
      <c r="J33" s="11">
        <v>1758</v>
      </c>
      <c r="K33" s="11">
        <v>788</v>
      </c>
      <c r="L33" s="4">
        <v>26273</v>
      </c>
      <c r="M33" s="14">
        <v>8585</v>
      </c>
      <c r="N33" s="14">
        <v>10304</v>
      </c>
      <c r="O33" s="9">
        <v>4624</v>
      </c>
      <c r="P33" s="9">
        <v>0</v>
      </c>
      <c r="Q33" s="9">
        <v>2760</v>
      </c>
      <c r="R33" s="11">
        <v>0</v>
      </c>
      <c r="S33" s="12"/>
      <c r="T33" s="12"/>
      <c r="U33" s="11"/>
      <c r="V33" s="11"/>
      <c r="W33" s="11"/>
      <c r="X33" s="11"/>
      <c r="Y33" s="39">
        <v>153</v>
      </c>
      <c r="Z33" s="8">
        <v>25.310000000000002</v>
      </c>
      <c r="AA33" s="39">
        <v>153</v>
      </c>
      <c r="AB33" s="39">
        <v>2.5499999999999998</v>
      </c>
      <c r="AC33" s="7"/>
    </row>
    <row r="34" spans="1:29" ht="14.4" customHeight="1" x14ac:dyDescent="0.3">
      <c r="A34">
        <v>2025</v>
      </c>
      <c r="B34">
        <v>12</v>
      </c>
      <c r="C34" s="4" t="s">
        <v>111</v>
      </c>
      <c r="D34" s="10">
        <v>66.8</v>
      </c>
      <c r="E34" s="10"/>
      <c r="F34" s="10">
        <v>-4179</v>
      </c>
      <c r="G34" s="10">
        <v>66.844291666666663</v>
      </c>
      <c r="H34" s="10">
        <v>1.89</v>
      </c>
      <c r="I34" s="10">
        <v>135</v>
      </c>
      <c r="J34" s="11">
        <v>1749</v>
      </c>
      <c r="K34" s="11">
        <v>738</v>
      </c>
      <c r="L34" s="4">
        <v>9336</v>
      </c>
      <c r="M34" s="14">
        <v>2000</v>
      </c>
      <c r="N34" s="14">
        <v>4704</v>
      </c>
      <c r="O34" s="9">
        <v>1632</v>
      </c>
      <c r="P34" s="9">
        <v>0</v>
      </c>
      <c r="Q34" s="9">
        <v>1000</v>
      </c>
      <c r="R34" s="11">
        <v>0</v>
      </c>
      <c r="S34" s="12"/>
      <c r="T34" s="12"/>
      <c r="U34" s="11"/>
      <c r="V34" s="11"/>
      <c r="W34" s="11"/>
      <c r="X34" s="11"/>
      <c r="Y34" s="39">
        <v>130</v>
      </c>
      <c r="Z34" s="8">
        <v>22</v>
      </c>
      <c r="AA34" s="39">
        <v>130</v>
      </c>
      <c r="AB34" s="39">
        <v>2.1666666666666665</v>
      </c>
      <c r="AC34" s="7"/>
    </row>
    <row r="35" spans="1:29" ht="14.4" customHeight="1" x14ac:dyDescent="0.3">
      <c r="A35">
        <v>2025</v>
      </c>
      <c r="B35">
        <v>13</v>
      </c>
      <c r="C35" s="4" t="s">
        <v>112</v>
      </c>
      <c r="D35" s="10">
        <v>67.16</v>
      </c>
      <c r="E35" s="10"/>
      <c r="F35" s="10">
        <v>-4340</v>
      </c>
      <c r="G35" s="10">
        <v>66.257499999999993</v>
      </c>
      <c r="H35" s="10">
        <v>1.863</v>
      </c>
      <c r="I35" s="10">
        <v>139</v>
      </c>
      <c r="J35" s="11">
        <v>1716</v>
      </c>
      <c r="K35" s="11">
        <v>767</v>
      </c>
      <c r="L35" s="4">
        <v>26028</v>
      </c>
      <c r="M35" s="14">
        <v>9220</v>
      </c>
      <c r="N35" s="14">
        <v>6464</v>
      </c>
      <c r="O35" s="9">
        <v>7464</v>
      </c>
      <c r="P35" s="9">
        <v>480</v>
      </c>
      <c r="Q35" s="9">
        <v>2400</v>
      </c>
      <c r="R35" s="11">
        <v>0</v>
      </c>
      <c r="S35" s="12"/>
      <c r="T35" s="12"/>
      <c r="U35" s="11"/>
      <c r="V35" s="11"/>
      <c r="W35" s="11"/>
      <c r="X35" s="11"/>
      <c r="Y35" s="39">
        <v>166</v>
      </c>
      <c r="Z35" s="8">
        <v>28.130000000000003</v>
      </c>
      <c r="AA35" s="39">
        <v>166</v>
      </c>
      <c r="AB35" s="39">
        <v>2.7666666666666666</v>
      </c>
      <c r="AC35" s="7"/>
    </row>
    <row r="36" spans="1:29" ht="14.4" customHeight="1" x14ac:dyDescent="0.3">
      <c r="A36">
        <v>2025</v>
      </c>
      <c r="B36">
        <v>14</v>
      </c>
      <c r="C36" s="4" t="s">
        <v>113</v>
      </c>
      <c r="D36" s="10">
        <v>67.7</v>
      </c>
      <c r="E36" s="10"/>
      <c r="F36" s="10">
        <v>-5355</v>
      </c>
      <c r="G36" s="10">
        <v>66.490624999999994</v>
      </c>
      <c r="H36" s="10">
        <v>1.7509999999999999</v>
      </c>
      <c r="I36" s="10">
        <v>146</v>
      </c>
      <c r="J36" s="11">
        <v>1758</v>
      </c>
      <c r="K36" s="11">
        <v>758</v>
      </c>
      <c r="L36" s="4">
        <v>39221.200000000004</v>
      </c>
      <c r="M36" s="14">
        <v>10896</v>
      </c>
      <c r="N36" s="14">
        <v>14736</v>
      </c>
      <c r="O36" s="9">
        <v>8782.4</v>
      </c>
      <c r="P36" s="9">
        <v>2070.8000000000002</v>
      </c>
      <c r="Q36" s="9">
        <v>2736</v>
      </c>
      <c r="R36" s="11">
        <v>0</v>
      </c>
      <c r="S36" s="12"/>
      <c r="T36" s="12"/>
      <c r="U36" s="11"/>
      <c r="V36" s="11"/>
      <c r="W36" s="11"/>
      <c r="X36" s="11"/>
      <c r="Y36" s="39">
        <v>146</v>
      </c>
      <c r="Z36" s="8">
        <v>25.299999999999997</v>
      </c>
      <c r="AA36" s="39">
        <v>146</v>
      </c>
      <c r="AB36" s="39">
        <v>2.4333333333333331</v>
      </c>
      <c r="AC36" s="7"/>
    </row>
    <row r="37" spans="1:29" ht="14.4" customHeight="1" x14ac:dyDescent="0.3">
      <c r="A37">
        <v>2025</v>
      </c>
      <c r="B37">
        <v>15</v>
      </c>
      <c r="C37" s="4" t="s">
        <v>114</v>
      </c>
      <c r="D37" s="10">
        <v>67.25</v>
      </c>
      <c r="E37" s="10"/>
      <c r="F37" s="10">
        <v>-4564</v>
      </c>
      <c r="G37" s="10">
        <v>67.129500000000007</v>
      </c>
      <c r="H37" s="10">
        <v>1.7509999999999999</v>
      </c>
      <c r="I37" s="10">
        <v>146</v>
      </c>
      <c r="J37" s="11">
        <v>1744</v>
      </c>
      <c r="K37" s="11">
        <v>659</v>
      </c>
      <c r="L37" s="4">
        <v>42718.2</v>
      </c>
      <c r="M37" s="14">
        <v>14257.599999999999</v>
      </c>
      <c r="N37" s="14">
        <v>15586.400000000001</v>
      </c>
      <c r="O37" s="9">
        <v>10272.599999999999</v>
      </c>
      <c r="P37" s="9">
        <v>0</v>
      </c>
      <c r="Q37" s="9">
        <v>2601.6</v>
      </c>
      <c r="R37" s="11">
        <v>0</v>
      </c>
      <c r="S37" s="12"/>
      <c r="T37" s="12"/>
      <c r="U37" s="11"/>
      <c r="V37" s="11"/>
      <c r="W37" s="11"/>
      <c r="X37" s="11"/>
      <c r="Y37" s="39">
        <v>153</v>
      </c>
      <c r="Z37" s="8">
        <v>26.3</v>
      </c>
      <c r="AA37" s="39">
        <v>153</v>
      </c>
      <c r="AB37" s="39">
        <v>2.5499999999999998</v>
      </c>
      <c r="AC37" s="7"/>
    </row>
    <row r="38" spans="1:29" ht="14.4" customHeight="1" x14ac:dyDescent="0.3">
      <c r="A38">
        <v>2025</v>
      </c>
      <c r="B38">
        <v>16</v>
      </c>
      <c r="C38" s="4" t="s">
        <v>115</v>
      </c>
      <c r="D38" s="10">
        <v>66.500000000000014</v>
      </c>
      <c r="E38" s="10"/>
      <c r="F38" s="10">
        <v>-3129</v>
      </c>
      <c r="G38" s="10">
        <v>66.858874999999998</v>
      </c>
      <c r="H38" s="10">
        <v>1.9059999999999999</v>
      </c>
      <c r="I38" s="10">
        <v>131</v>
      </c>
      <c r="J38" s="11">
        <v>1717</v>
      </c>
      <c r="K38" s="11">
        <v>636</v>
      </c>
      <c r="L38" s="4">
        <v>30916</v>
      </c>
      <c r="M38" s="14">
        <v>6800</v>
      </c>
      <c r="N38" s="14">
        <v>10718</v>
      </c>
      <c r="O38" s="9">
        <v>11128</v>
      </c>
      <c r="P38" s="9">
        <v>630</v>
      </c>
      <c r="Q38" s="9">
        <v>1640</v>
      </c>
      <c r="R38" s="11">
        <v>0</v>
      </c>
      <c r="S38" s="12"/>
      <c r="T38" s="12"/>
      <c r="U38" s="11"/>
      <c r="V38" s="11"/>
      <c r="W38" s="11"/>
      <c r="X38" s="11"/>
      <c r="Y38" s="39">
        <v>83</v>
      </c>
      <c r="Z38" s="8">
        <v>13.3</v>
      </c>
      <c r="AA38" s="39">
        <v>83</v>
      </c>
      <c r="AB38" s="39">
        <v>1.3833333333333333</v>
      </c>
      <c r="AC38" s="7"/>
    </row>
    <row r="39" spans="1:29" ht="14.4" customHeight="1" x14ac:dyDescent="0.3">
      <c r="A39">
        <v>2025</v>
      </c>
      <c r="B39">
        <v>17</v>
      </c>
      <c r="C39" s="4" t="s">
        <v>116</v>
      </c>
      <c r="D39" s="10">
        <v>66.800000000000011</v>
      </c>
      <c r="E39" s="10"/>
      <c r="F39" s="10">
        <v>-3346</v>
      </c>
      <c r="G39" s="10">
        <v>66.081750000000014</v>
      </c>
      <c r="H39" s="10">
        <v>2.0640000000000001</v>
      </c>
      <c r="I39" s="10">
        <v>129</v>
      </c>
      <c r="J39" s="11">
        <v>1731</v>
      </c>
      <c r="K39" s="11">
        <v>811</v>
      </c>
      <c r="L39" s="4">
        <v>50532</v>
      </c>
      <c r="M39" s="14">
        <v>17525</v>
      </c>
      <c r="N39" s="14">
        <v>15562</v>
      </c>
      <c r="O39" s="9">
        <v>13205</v>
      </c>
      <c r="P39" s="9">
        <v>1920</v>
      </c>
      <c r="Q39" s="9">
        <v>2320</v>
      </c>
      <c r="R39" s="11">
        <v>0</v>
      </c>
      <c r="S39" s="12"/>
      <c r="T39" s="12"/>
      <c r="U39" s="11"/>
      <c r="V39" s="11"/>
      <c r="W39" s="11"/>
      <c r="X39" s="11"/>
      <c r="Y39" s="39">
        <v>76</v>
      </c>
      <c r="Z39" s="8">
        <v>13.35</v>
      </c>
      <c r="AA39" s="39">
        <v>76</v>
      </c>
      <c r="AB39" s="39">
        <v>1.2666666666666666</v>
      </c>
      <c r="AC39" s="7"/>
    </row>
    <row r="40" spans="1:29" ht="14.4" customHeight="1" x14ac:dyDescent="0.3">
      <c r="A40">
        <v>2025</v>
      </c>
      <c r="B40">
        <v>18</v>
      </c>
      <c r="C40" s="4" t="s">
        <v>117</v>
      </c>
      <c r="D40" s="10">
        <v>66.859999999999985</v>
      </c>
      <c r="E40" s="10"/>
      <c r="F40" s="10">
        <v>-3717.0000000000018</v>
      </c>
      <c r="G40" s="10">
        <v>66.335375000000013</v>
      </c>
      <c r="H40" s="10">
        <v>2.0379999999999998</v>
      </c>
      <c r="I40" s="10">
        <v>139</v>
      </c>
      <c r="J40" s="11">
        <v>1746</v>
      </c>
      <c r="K40" s="11">
        <v>823</v>
      </c>
      <c r="L40" s="4">
        <v>40572</v>
      </c>
      <c r="M40" s="14">
        <v>13750</v>
      </c>
      <c r="N40" s="14">
        <v>12674</v>
      </c>
      <c r="O40" s="9">
        <v>10268</v>
      </c>
      <c r="P40" s="9">
        <v>1960</v>
      </c>
      <c r="Q40" s="9">
        <v>1920</v>
      </c>
      <c r="R40" s="11">
        <v>0</v>
      </c>
      <c r="S40" s="12"/>
      <c r="T40" s="12"/>
      <c r="U40" s="11"/>
      <c r="V40" s="11"/>
      <c r="W40" s="11"/>
      <c r="X40" s="11"/>
      <c r="Y40" s="39">
        <v>69</v>
      </c>
      <c r="Z40" s="8">
        <v>11.33</v>
      </c>
      <c r="AA40" s="39">
        <v>69</v>
      </c>
      <c r="AB40" s="39">
        <v>1.1499999999999999</v>
      </c>
      <c r="AC40" s="7"/>
    </row>
    <row r="41" spans="1:29" ht="14.4" customHeight="1" x14ac:dyDescent="0.3">
      <c r="A41">
        <v>2025</v>
      </c>
      <c r="B41">
        <v>19</v>
      </c>
      <c r="C41" s="4" t="s">
        <v>118</v>
      </c>
      <c r="D41" s="10">
        <v>66.485714285714295</v>
      </c>
      <c r="E41" s="10"/>
      <c r="F41" s="10">
        <v>-3024</v>
      </c>
      <c r="G41" s="10">
        <v>66.481999999999985</v>
      </c>
      <c r="H41" s="10">
        <v>2.0819999999999999</v>
      </c>
      <c r="I41" s="10">
        <v>156</v>
      </c>
      <c r="J41" s="11">
        <v>1728</v>
      </c>
      <c r="K41" s="11">
        <v>786</v>
      </c>
      <c r="L41" s="4">
        <v>46528</v>
      </c>
      <c r="M41" s="14">
        <v>11600</v>
      </c>
      <c r="N41" s="14">
        <v>14936</v>
      </c>
      <c r="O41" s="9">
        <v>15952</v>
      </c>
      <c r="P41" s="9">
        <v>840</v>
      </c>
      <c r="Q41" s="9">
        <v>3200</v>
      </c>
      <c r="R41" s="11">
        <v>0</v>
      </c>
      <c r="S41" s="12"/>
      <c r="T41" s="12"/>
      <c r="U41" s="11"/>
      <c r="V41" s="11"/>
      <c r="W41" s="11"/>
      <c r="X41" s="11"/>
      <c r="Y41" s="39">
        <v>93</v>
      </c>
      <c r="Z41" s="8">
        <v>14.600000000000001</v>
      </c>
      <c r="AA41" s="39">
        <v>93</v>
      </c>
      <c r="AB41" s="39">
        <v>1.55</v>
      </c>
      <c r="AC41" s="7"/>
    </row>
    <row r="42" spans="1:29" ht="14.4" customHeight="1" x14ac:dyDescent="0.3">
      <c r="A42">
        <v>2025</v>
      </c>
      <c r="B42">
        <v>20</v>
      </c>
      <c r="C42" s="4" t="s">
        <v>119</v>
      </c>
      <c r="D42" s="10">
        <v>65.928571428571416</v>
      </c>
      <c r="E42" s="10"/>
      <c r="F42" s="10">
        <v>-4984</v>
      </c>
      <c r="G42" s="10">
        <v>65.86271428571429</v>
      </c>
      <c r="H42" s="10">
        <v>1.873</v>
      </c>
      <c r="I42" s="10">
        <v>141</v>
      </c>
      <c r="J42" s="11">
        <v>1716</v>
      </c>
      <c r="K42" s="11">
        <v>869</v>
      </c>
      <c r="L42" s="4">
        <v>47617</v>
      </c>
      <c r="M42" s="14">
        <v>14680</v>
      </c>
      <c r="N42" s="14">
        <v>14301</v>
      </c>
      <c r="O42" s="9">
        <v>16396</v>
      </c>
      <c r="P42" s="9">
        <v>1920</v>
      </c>
      <c r="Q42" s="9">
        <v>320</v>
      </c>
      <c r="R42" s="11">
        <v>0</v>
      </c>
      <c r="S42" s="12"/>
      <c r="T42" s="12"/>
      <c r="U42" s="11"/>
      <c r="V42" s="11"/>
      <c r="W42" s="11"/>
      <c r="X42" s="11"/>
      <c r="Y42" s="39">
        <v>146</v>
      </c>
      <c r="Z42" s="8">
        <v>22.66</v>
      </c>
      <c r="AA42" s="39">
        <v>146</v>
      </c>
      <c r="AB42" s="39">
        <v>2.4333333333333331</v>
      </c>
      <c r="AC42" s="7"/>
    </row>
    <row r="43" spans="1:29" ht="14.4" customHeight="1" x14ac:dyDescent="0.3">
      <c r="A43">
        <v>2025</v>
      </c>
      <c r="B43">
        <v>21</v>
      </c>
      <c r="C43" s="4" t="s">
        <v>120</v>
      </c>
      <c r="D43" s="10">
        <v>65.94285714285715</v>
      </c>
      <c r="E43" s="10"/>
      <c r="F43" s="10">
        <v>-4480</v>
      </c>
      <c r="G43" s="10">
        <v>65.368571428571414</v>
      </c>
      <c r="H43" s="10">
        <v>1.9750000000000001</v>
      </c>
      <c r="I43" s="10">
        <v>144</v>
      </c>
      <c r="J43" s="11">
        <v>1729</v>
      </c>
      <c r="K43" s="11">
        <v>886</v>
      </c>
      <c r="L43" s="4">
        <v>48149</v>
      </c>
      <c r="M43" s="14">
        <v>15160</v>
      </c>
      <c r="N43" s="14">
        <v>14681</v>
      </c>
      <c r="O43" s="9">
        <v>13668</v>
      </c>
      <c r="P43" s="9">
        <v>1280</v>
      </c>
      <c r="Q43" s="9">
        <v>3360</v>
      </c>
      <c r="R43" s="11">
        <v>0</v>
      </c>
      <c r="S43" s="12"/>
      <c r="T43" s="12"/>
      <c r="U43" s="11"/>
      <c r="V43" s="11"/>
      <c r="W43" s="11"/>
      <c r="X43" s="11"/>
      <c r="Y43" s="39">
        <v>153</v>
      </c>
      <c r="Z43" s="8">
        <v>23.46</v>
      </c>
      <c r="AA43" s="39">
        <v>153</v>
      </c>
      <c r="AB43" s="39">
        <v>2.5499999999999998</v>
      </c>
      <c r="AC43" s="7"/>
    </row>
    <row r="44" spans="1:29" ht="14.4" customHeight="1" x14ac:dyDescent="0.3">
      <c r="A44">
        <v>2025</v>
      </c>
      <c r="B44">
        <v>22</v>
      </c>
      <c r="C44" s="4" t="s">
        <v>121</v>
      </c>
      <c r="D44" s="10">
        <v>65.8</v>
      </c>
      <c r="E44" s="10"/>
      <c r="F44" s="10">
        <v>-4781</v>
      </c>
      <c r="G44" s="10">
        <v>65.345232142857157</v>
      </c>
      <c r="H44" s="10">
        <v>2.0960000000000001</v>
      </c>
      <c r="I44" s="10">
        <v>148</v>
      </c>
      <c r="J44" s="11">
        <v>1740</v>
      </c>
      <c r="K44" s="11">
        <v>1039</v>
      </c>
      <c r="L44" s="4">
        <v>25252.799999999999</v>
      </c>
      <c r="M44" s="14">
        <v>8574.4</v>
      </c>
      <c r="N44" s="14">
        <v>9602.4</v>
      </c>
      <c r="O44" s="9">
        <v>5592</v>
      </c>
      <c r="P44" s="9">
        <v>760.8</v>
      </c>
      <c r="Q44" s="9">
        <v>723.2</v>
      </c>
      <c r="R44" s="11">
        <v>0</v>
      </c>
      <c r="S44" s="12"/>
      <c r="T44" s="12"/>
      <c r="U44" s="11"/>
      <c r="V44" s="11"/>
      <c r="W44" s="11"/>
      <c r="X44" s="11"/>
      <c r="Y44" s="39">
        <v>165</v>
      </c>
      <c r="Z44" s="8">
        <v>27.03</v>
      </c>
      <c r="AA44" s="39">
        <v>165</v>
      </c>
      <c r="AB44" s="39">
        <v>2.75</v>
      </c>
      <c r="AC44" s="7"/>
    </row>
    <row r="45" spans="1:29" ht="14.4" customHeight="1" x14ac:dyDescent="0.3">
      <c r="A45">
        <v>2025</v>
      </c>
      <c r="B45">
        <v>23</v>
      </c>
      <c r="C45" s="4" t="s">
        <v>122</v>
      </c>
      <c r="D45" s="10">
        <v>65.8</v>
      </c>
      <c r="E45" s="10"/>
      <c r="F45" s="10">
        <v>-4214</v>
      </c>
      <c r="G45" s="10">
        <v>65.27324999999999</v>
      </c>
      <c r="H45" s="10">
        <v>2.1469999999999998</v>
      </c>
      <c r="I45" s="10">
        <v>166</v>
      </c>
      <c r="J45" s="11">
        <v>1741</v>
      </c>
      <c r="K45" s="11">
        <v>1008</v>
      </c>
      <c r="L45" s="4">
        <v>38831.399999999994</v>
      </c>
      <c r="M45" s="14">
        <v>12259.2</v>
      </c>
      <c r="N45" s="14">
        <v>12916.8</v>
      </c>
      <c r="O45" s="9">
        <v>11891.2</v>
      </c>
      <c r="P45" s="9">
        <v>1002.6</v>
      </c>
      <c r="Q45" s="9">
        <v>761.59999999999991</v>
      </c>
      <c r="R45" s="11">
        <v>0</v>
      </c>
      <c r="S45" s="12"/>
      <c r="T45" s="12"/>
      <c r="U45" s="11"/>
      <c r="V45" s="11"/>
      <c r="W45" s="11"/>
      <c r="X45" s="11"/>
      <c r="Y45" s="39">
        <v>130</v>
      </c>
      <c r="Z45" s="8">
        <v>22.62</v>
      </c>
      <c r="AA45" s="39">
        <v>130</v>
      </c>
      <c r="AB45" s="39">
        <v>2.1666666666666665</v>
      </c>
      <c r="AC45" s="7"/>
    </row>
    <row r="46" spans="1:29" ht="14.4" customHeight="1" x14ac:dyDescent="0.3">
      <c r="A46">
        <v>2025</v>
      </c>
      <c r="B46">
        <v>24</v>
      </c>
      <c r="C46" s="4" t="s">
        <v>123</v>
      </c>
      <c r="D46" s="10">
        <v>65</v>
      </c>
      <c r="E46" s="10"/>
      <c r="F46" s="10">
        <v>-980</v>
      </c>
      <c r="G46" s="10">
        <v>65.677499999999995</v>
      </c>
      <c r="H46" s="10">
        <v>2.371</v>
      </c>
      <c r="I46" s="10">
        <v>174</v>
      </c>
      <c r="J46" s="11">
        <v>1714</v>
      </c>
      <c r="K46" s="11">
        <v>797</v>
      </c>
      <c r="L46" s="4">
        <v>57236</v>
      </c>
      <c r="M46" s="14">
        <v>16000</v>
      </c>
      <c r="N46" s="14">
        <v>17281.2</v>
      </c>
      <c r="O46" s="9">
        <v>19246.8</v>
      </c>
      <c r="P46" s="9">
        <v>2442.4</v>
      </c>
      <c r="Q46" s="9">
        <v>2265.6</v>
      </c>
      <c r="R46" s="11">
        <v>0</v>
      </c>
      <c r="S46" s="12"/>
      <c r="T46" s="12"/>
      <c r="U46" s="11"/>
      <c r="V46" s="11"/>
      <c r="W46" s="11"/>
      <c r="X46" s="11"/>
      <c r="Y46" s="39">
        <v>90</v>
      </c>
      <c r="Z46" s="8">
        <v>13.42</v>
      </c>
      <c r="AA46" s="39">
        <v>90</v>
      </c>
      <c r="AB46" s="39">
        <v>1.5</v>
      </c>
      <c r="AC46" s="7"/>
    </row>
    <row r="47" spans="1:29" ht="14.4" customHeight="1" x14ac:dyDescent="0.3">
      <c r="A47">
        <v>2025</v>
      </c>
      <c r="B47">
        <v>25</v>
      </c>
      <c r="C47" s="4" t="s">
        <v>124</v>
      </c>
      <c r="D47" s="10">
        <v>64.566666666666677</v>
      </c>
      <c r="E47" s="10"/>
      <c r="F47" s="10">
        <v>-2380</v>
      </c>
      <c r="G47" s="10">
        <v>64.702500000000001</v>
      </c>
      <c r="H47" s="10">
        <v>2.1560000000000001</v>
      </c>
      <c r="I47" s="10">
        <v>146</v>
      </c>
      <c r="J47" s="11">
        <v>1694</v>
      </c>
      <c r="K47" s="11">
        <v>802</v>
      </c>
      <c r="L47" s="4">
        <v>40930</v>
      </c>
      <c r="M47" s="14">
        <v>13210</v>
      </c>
      <c r="N47" s="14">
        <v>11560</v>
      </c>
      <c r="O47" s="9">
        <v>11880</v>
      </c>
      <c r="P47" s="9">
        <v>840</v>
      </c>
      <c r="Q47" s="9">
        <v>3440</v>
      </c>
      <c r="R47" s="11">
        <v>0</v>
      </c>
      <c r="S47" s="12"/>
      <c r="T47" s="12"/>
      <c r="U47" s="11"/>
      <c r="V47" s="11"/>
      <c r="W47" s="11"/>
      <c r="X47" s="11"/>
      <c r="Y47" s="39">
        <v>153</v>
      </c>
      <c r="Z47" s="8">
        <v>24.12</v>
      </c>
      <c r="AA47" s="39">
        <v>153</v>
      </c>
      <c r="AB47" s="39">
        <v>2.5499999999999998</v>
      </c>
      <c r="AC47" s="7"/>
    </row>
    <row r="48" spans="1:29" ht="14.4" customHeight="1" x14ac:dyDescent="0.3">
      <c r="A48">
        <v>2025</v>
      </c>
      <c r="B48">
        <v>26</v>
      </c>
      <c r="C48" s="4" t="s">
        <v>125</v>
      </c>
      <c r="D48" s="10">
        <v>64.55</v>
      </c>
      <c r="E48" s="10"/>
      <c r="F48" s="10">
        <v>-2128</v>
      </c>
      <c r="G48" s="10">
        <v>64.300666666666672</v>
      </c>
      <c r="H48" s="10">
        <v>2.1930000000000001</v>
      </c>
      <c r="I48" s="10">
        <v>140</v>
      </c>
      <c r="J48" s="11">
        <v>1701</v>
      </c>
      <c r="K48" s="11">
        <v>796</v>
      </c>
      <c r="L48" s="4">
        <v>39730</v>
      </c>
      <c r="M48" s="14">
        <v>14080</v>
      </c>
      <c r="N48" s="14">
        <v>11370</v>
      </c>
      <c r="O48" s="9">
        <v>12600</v>
      </c>
      <c r="P48" s="9">
        <v>0</v>
      </c>
      <c r="Q48" s="9">
        <v>1680</v>
      </c>
      <c r="R48" s="11">
        <v>0</v>
      </c>
      <c r="S48" s="12"/>
      <c r="T48" s="12"/>
      <c r="U48" s="11"/>
      <c r="V48" s="11"/>
      <c r="W48" s="11"/>
      <c r="X48" s="11"/>
      <c r="Y48" s="39">
        <v>80</v>
      </c>
      <c r="Z48" s="8">
        <v>13.14</v>
      </c>
      <c r="AA48" s="39">
        <v>80</v>
      </c>
      <c r="AB48" s="39">
        <v>1.3333333333333333</v>
      </c>
      <c r="AC48" s="7"/>
    </row>
    <row r="49" spans="1:29" ht="14.4" customHeight="1" x14ac:dyDescent="0.3">
      <c r="A49">
        <v>2025</v>
      </c>
      <c r="B49">
        <v>27</v>
      </c>
      <c r="C49" s="4" t="s">
        <v>126</v>
      </c>
      <c r="D49" s="10">
        <v>65</v>
      </c>
      <c r="E49" s="10"/>
      <c r="F49" s="10">
        <v>-2394</v>
      </c>
      <c r="G49" s="10">
        <v>64.250749999999996</v>
      </c>
      <c r="H49" s="10">
        <v>2.2349999999999999</v>
      </c>
      <c r="I49" s="10">
        <v>165</v>
      </c>
      <c r="J49" s="11">
        <v>1717</v>
      </c>
      <c r="K49" s="11">
        <v>860</v>
      </c>
      <c r="L49" s="4">
        <v>39286.699999999997</v>
      </c>
      <c r="M49" s="14">
        <v>12636.599999999999</v>
      </c>
      <c r="N49" s="14">
        <v>17852.599999999999</v>
      </c>
      <c r="O49" s="9">
        <v>5213.8</v>
      </c>
      <c r="P49" s="9">
        <v>1542.6</v>
      </c>
      <c r="Q49" s="9">
        <v>2041.1000000000001</v>
      </c>
      <c r="R49" s="11">
        <v>0</v>
      </c>
      <c r="S49" s="12"/>
      <c r="T49" s="12"/>
      <c r="U49" s="11"/>
      <c r="V49" s="11"/>
      <c r="W49" s="11"/>
      <c r="X49" s="11"/>
      <c r="Y49" s="39">
        <v>0</v>
      </c>
      <c r="Z49" s="8">
        <v>21.02</v>
      </c>
      <c r="AA49" s="39">
        <v>0</v>
      </c>
      <c r="AB49" s="39">
        <v>0</v>
      </c>
      <c r="AC49" s="7"/>
    </row>
    <row r="50" spans="1:29" ht="14.4" customHeight="1" x14ac:dyDescent="0.3">
      <c r="A50">
        <v>2025</v>
      </c>
      <c r="B50">
        <v>28</v>
      </c>
      <c r="C50" s="4" t="s">
        <v>127</v>
      </c>
      <c r="D50" s="10">
        <v>64.599999999999994</v>
      </c>
      <c r="E50" s="10"/>
      <c r="F50" s="10">
        <v>-651</v>
      </c>
      <c r="G50" s="10">
        <v>64.918625000000006</v>
      </c>
      <c r="H50" s="10">
        <v>2.4460000000000002</v>
      </c>
      <c r="I50" s="10">
        <v>158</v>
      </c>
      <c r="J50" s="11">
        <v>1719</v>
      </c>
      <c r="K50" s="11">
        <v>820</v>
      </c>
      <c r="L50" s="4">
        <v>43047.3</v>
      </c>
      <c r="M50" s="14">
        <v>13574.400000000001</v>
      </c>
      <c r="N50" s="14">
        <v>16525</v>
      </c>
      <c r="O50" s="9">
        <v>8879</v>
      </c>
      <c r="P50" s="9">
        <v>1248.5999999999999</v>
      </c>
      <c r="Q50" s="9">
        <v>2820.3</v>
      </c>
      <c r="R50" s="11">
        <v>0</v>
      </c>
      <c r="S50" s="12"/>
      <c r="T50" s="12"/>
      <c r="U50" s="11"/>
      <c r="V50" s="11"/>
      <c r="W50" s="11"/>
      <c r="X50" s="11"/>
      <c r="Y50" s="39">
        <v>123</v>
      </c>
      <c r="Z50" s="8">
        <v>19.7</v>
      </c>
      <c r="AA50" s="39">
        <v>123</v>
      </c>
      <c r="AB50" s="39">
        <v>2.0499999999999998</v>
      </c>
      <c r="AC50" s="7"/>
    </row>
    <row r="51" spans="1:29" ht="14.4" customHeight="1" x14ac:dyDescent="0.3">
      <c r="A51">
        <v>2025</v>
      </c>
      <c r="B51">
        <v>29</v>
      </c>
      <c r="C51" s="4" t="s">
        <v>128</v>
      </c>
      <c r="D51" s="10">
        <v>64.539999999999992</v>
      </c>
      <c r="E51" s="10"/>
      <c r="F51" s="10">
        <v>1092</v>
      </c>
      <c r="G51" s="10">
        <v>64.736499999999992</v>
      </c>
      <c r="H51" s="10">
        <v>2.4740000000000002</v>
      </c>
      <c r="I51" s="10">
        <v>153</v>
      </c>
      <c r="J51" s="11">
        <v>1692</v>
      </c>
      <c r="K51" s="11">
        <v>626</v>
      </c>
      <c r="L51" s="4">
        <v>42415</v>
      </c>
      <c r="M51" s="14">
        <v>11360</v>
      </c>
      <c r="N51" s="14">
        <v>9615</v>
      </c>
      <c r="O51" s="9">
        <v>18680</v>
      </c>
      <c r="P51" s="9">
        <v>1920</v>
      </c>
      <c r="Q51" s="9">
        <v>840</v>
      </c>
      <c r="R51" s="11">
        <v>0</v>
      </c>
      <c r="S51" s="12"/>
      <c r="T51" s="12"/>
      <c r="U51" s="11"/>
      <c r="V51" s="11"/>
      <c r="W51" s="11"/>
      <c r="X51" s="11"/>
      <c r="Y51" s="39">
        <v>108</v>
      </c>
      <c r="Z51" s="8">
        <v>17.12</v>
      </c>
      <c r="AA51" s="39">
        <v>108</v>
      </c>
      <c r="AB51" s="39">
        <v>1.8</v>
      </c>
      <c r="AC51" s="7"/>
    </row>
    <row r="52" spans="1:29" ht="14.4" customHeight="1" x14ac:dyDescent="0.3">
      <c r="A52">
        <v>2025</v>
      </c>
      <c r="B52">
        <v>30</v>
      </c>
      <c r="C52" s="4" t="s">
        <v>129</v>
      </c>
      <c r="D52" s="10">
        <v>64.428571428571431</v>
      </c>
      <c r="E52" s="10"/>
      <c r="F52" s="10">
        <v>532</v>
      </c>
      <c r="G52" s="10">
        <v>64.606499999999997</v>
      </c>
      <c r="H52" s="10">
        <v>2.504</v>
      </c>
      <c r="I52" s="10">
        <v>156</v>
      </c>
      <c r="J52" s="11">
        <v>1689</v>
      </c>
      <c r="K52" s="11">
        <v>739</v>
      </c>
      <c r="L52" s="4">
        <v>58320</v>
      </c>
      <c r="M52" s="14">
        <v>18390</v>
      </c>
      <c r="N52" s="14">
        <v>11530</v>
      </c>
      <c r="O52" s="9">
        <v>22560</v>
      </c>
      <c r="P52" s="9">
        <v>2880</v>
      </c>
      <c r="Q52" s="9">
        <v>2960</v>
      </c>
      <c r="R52" s="11">
        <v>0</v>
      </c>
      <c r="S52" s="12"/>
      <c r="T52" s="12"/>
      <c r="U52" s="11"/>
      <c r="V52" s="11"/>
      <c r="W52" s="11"/>
      <c r="X52" s="11"/>
      <c r="Y52" s="39">
        <v>134</v>
      </c>
      <c r="Z52" s="8">
        <v>22.86</v>
      </c>
      <c r="AA52" s="39">
        <v>134</v>
      </c>
      <c r="AB52" s="39">
        <v>2.2333333333333334</v>
      </c>
      <c r="AC52" s="7"/>
    </row>
    <row r="53" spans="1:29" ht="14.4" customHeight="1" x14ac:dyDescent="0.3">
      <c r="A53">
        <v>2025</v>
      </c>
      <c r="B53">
        <v>31</v>
      </c>
      <c r="C53" s="4" t="s">
        <v>130</v>
      </c>
      <c r="D53" s="10">
        <v>64.98571428571428</v>
      </c>
      <c r="E53" s="10"/>
      <c r="F53" s="10">
        <v>679</v>
      </c>
      <c r="G53" s="10">
        <v>64.513446428571427</v>
      </c>
      <c r="H53" s="10">
        <v>2.528</v>
      </c>
      <c r="I53" s="10">
        <v>155</v>
      </c>
      <c r="J53" s="11">
        <v>1709</v>
      </c>
      <c r="K53" s="11">
        <v>722</v>
      </c>
      <c r="L53" s="4">
        <v>61490</v>
      </c>
      <c r="M53" s="14">
        <v>18900</v>
      </c>
      <c r="N53" s="14">
        <v>11575</v>
      </c>
      <c r="O53" s="9">
        <v>24480</v>
      </c>
      <c r="P53" s="9">
        <v>3290</v>
      </c>
      <c r="Q53" s="9">
        <v>3245</v>
      </c>
      <c r="R53" s="11">
        <v>0</v>
      </c>
      <c r="S53" s="12"/>
      <c r="T53" s="12"/>
      <c r="U53" s="11"/>
      <c r="V53" s="11"/>
      <c r="W53" s="11"/>
      <c r="X53" s="11"/>
      <c r="Y53" s="39">
        <v>132</v>
      </c>
      <c r="Z53" s="8">
        <v>20.83</v>
      </c>
      <c r="AA53" s="39">
        <v>132</v>
      </c>
      <c r="AB53" s="39">
        <v>2.2000000000000002</v>
      </c>
      <c r="AC53" s="7"/>
    </row>
    <row r="54" spans="1:29" ht="14.4" customHeight="1" x14ac:dyDescent="0.3">
      <c r="A54">
        <v>2025</v>
      </c>
      <c r="B54">
        <v>32</v>
      </c>
      <c r="C54" s="4" t="s">
        <v>131</v>
      </c>
      <c r="D54" s="10">
        <v>65.149999999999991</v>
      </c>
      <c r="E54" s="10"/>
      <c r="F54" s="10">
        <v>224</v>
      </c>
      <c r="G54" s="10">
        <v>65.013714285714286</v>
      </c>
      <c r="H54" s="10">
        <v>2.4750000000000001</v>
      </c>
      <c r="I54" s="10">
        <v>142</v>
      </c>
      <c r="J54" s="11">
        <v>1696</v>
      </c>
      <c r="K54" s="11">
        <v>747</v>
      </c>
      <c r="L54" s="4">
        <v>51720</v>
      </c>
      <c r="M54" s="14">
        <v>13540</v>
      </c>
      <c r="N54" s="14">
        <v>11740</v>
      </c>
      <c r="O54" s="9">
        <v>22060</v>
      </c>
      <c r="P54" s="9">
        <v>960</v>
      </c>
      <c r="Q54" s="9">
        <v>3420</v>
      </c>
      <c r="R54" s="11">
        <v>0</v>
      </c>
      <c r="S54" s="12"/>
      <c r="T54" s="12"/>
      <c r="U54" s="11"/>
      <c r="V54" s="11"/>
      <c r="W54" s="11"/>
      <c r="X54" s="11"/>
      <c r="Y54" s="39">
        <v>120</v>
      </c>
      <c r="Z54" s="8">
        <v>18.14</v>
      </c>
      <c r="AA54" s="39">
        <v>120</v>
      </c>
      <c r="AB54" s="39">
        <v>2</v>
      </c>
      <c r="AC54" s="7"/>
    </row>
    <row r="55" spans="1:29" ht="14.4" customHeight="1" x14ac:dyDescent="0.3">
      <c r="A55">
        <v>2025</v>
      </c>
      <c r="B55">
        <v>33</v>
      </c>
      <c r="C55" s="4" t="s">
        <v>132</v>
      </c>
      <c r="D55" s="10">
        <v>65.5</v>
      </c>
      <c r="E55" s="10"/>
      <c r="F55" s="10">
        <v>308</v>
      </c>
      <c r="G55" s="10">
        <v>65.188500000000005</v>
      </c>
      <c r="H55" s="10">
        <v>2.601</v>
      </c>
      <c r="I55" s="10">
        <v>136</v>
      </c>
      <c r="J55" s="11">
        <v>1710</v>
      </c>
      <c r="K55" s="11">
        <v>847</v>
      </c>
      <c r="L55" s="4">
        <v>40420</v>
      </c>
      <c r="M55" s="14">
        <v>12645</v>
      </c>
      <c r="N55" s="14">
        <v>9765</v>
      </c>
      <c r="O55" s="9">
        <v>14970</v>
      </c>
      <c r="P55" s="9">
        <v>720</v>
      </c>
      <c r="Q55" s="9">
        <v>2320</v>
      </c>
      <c r="R55" s="11">
        <v>0</v>
      </c>
      <c r="S55" s="12"/>
      <c r="T55" s="12"/>
      <c r="U55" s="11"/>
      <c r="V55" s="11"/>
      <c r="W55" s="11"/>
      <c r="X55" s="11"/>
      <c r="Y55" s="39">
        <v>83</v>
      </c>
      <c r="Z55" s="8">
        <v>14.33</v>
      </c>
      <c r="AA55" s="39">
        <v>83</v>
      </c>
      <c r="AB55" s="39">
        <v>1.3833333333333333</v>
      </c>
      <c r="AC55" s="7"/>
    </row>
    <row r="56" spans="1:29" ht="14.4" customHeight="1" x14ac:dyDescent="0.3">
      <c r="A56">
        <v>2025</v>
      </c>
      <c r="B56">
        <v>34</v>
      </c>
      <c r="C56" s="4" t="s">
        <v>133</v>
      </c>
      <c r="D56" s="10">
        <v>66.171428571428564</v>
      </c>
      <c r="E56" s="10"/>
      <c r="F56" s="10">
        <v>567</v>
      </c>
      <c r="G56" s="10">
        <v>65.570875000000001</v>
      </c>
      <c r="H56" s="10">
        <v>2.6419999999999999</v>
      </c>
      <c r="I56" s="10">
        <v>143</v>
      </c>
      <c r="J56" s="11">
        <v>1714</v>
      </c>
      <c r="K56" s="11">
        <v>847</v>
      </c>
      <c r="L56" s="4">
        <v>76897</v>
      </c>
      <c r="M56" s="14">
        <v>20430</v>
      </c>
      <c r="N56" s="14">
        <v>13508</v>
      </c>
      <c r="O56" s="9">
        <v>37049</v>
      </c>
      <c r="P56" s="9">
        <v>1650</v>
      </c>
      <c r="Q56" s="9">
        <v>4260</v>
      </c>
      <c r="R56" s="11">
        <v>0</v>
      </c>
      <c r="S56" s="12"/>
      <c r="T56" s="12"/>
      <c r="U56" s="11"/>
      <c r="V56" s="11"/>
      <c r="W56" s="11"/>
      <c r="X56" s="11"/>
      <c r="Y56" s="39">
        <v>90</v>
      </c>
      <c r="Z56" s="8">
        <v>15.34</v>
      </c>
      <c r="AA56" s="39">
        <v>90</v>
      </c>
      <c r="AB56" s="39">
        <v>1.5</v>
      </c>
      <c r="AC56" s="7"/>
    </row>
    <row r="57" spans="1:29" ht="14.4" customHeight="1" x14ac:dyDescent="0.3">
      <c r="A57">
        <v>2025</v>
      </c>
      <c r="B57">
        <v>35</v>
      </c>
      <c r="C57" s="4" t="s">
        <v>134</v>
      </c>
      <c r="D57" s="10">
        <v>66.5</v>
      </c>
      <c r="E57" s="10"/>
      <c r="F57" s="10">
        <v>-945</v>
      </c>
      <c r="G57" s="10">
        <v>66.053303571428557</v>
      </c>
      <c r="H57" s="10">
        <v>2.5019999999999998</v>
      </c>
      <c r="I57" s="10">
        <v>149</v>
      </c>
      <c r="J57" s="11">
        <v>1744</v>
      </c>
      <c r="K57" s="11">
        <v>893</v>
      </c>
      <c r="L57" s="4">
        <v>39257.599999999999</v>
      </c>
      <c r="M57" s="14">
        <v>11320</v>
      </c>
      <c r="N57" s="14">
        <v>10375.200000000001</v>
      </c>
      <c r="O57" s="9">
        <v>12992.8</v>
      </c>
      <c r="P57" s="9">
        <v>2393.6</v>
      </c>
      <c r="Q57" s="9">
        <v>2176</v>
      </c>
      <c r="R57" s="11">
        <v>0</v>
      </c>
      <c r="S57" s="12"/>
      <c r="T57" s="12"/>
      <c r="U57" s="11"/>
      <c r="V57" s="11"/>
      <c r="W57" s="11"/>
      <c r="X57" s="11"/>
      <c r="Y57" s="39">
        <v>158</v>
      </c>
      <c r="Z57" s="8">
        <v>25.38</v>
      </c>
      <c r="AA57" s="39">
        <v>158</v>
      </c>
      <c r="AB57" s="39">
        <v>2.6333333333333333</v>
      </c>
      <c r="AC57" s="7"/>
    </row>
    <row r="58" spans="1:29" ht="14.4" customHeight="1" x14ac:dyDescent="0.3">
      <c r="A58">
        <v>2025</v>
      </c>
      <c r="B58">
        <v>36</v>
      </c>
      <c r="C58" s="4" t="s">
        <v>135</v>
      </c>
      <c r="D58" s="10">
        <v>66.099999999999994</v>
      </c>
      <c r="E58" s="10"/>
      <c r="F58" s="10">
        <v>1260</v>
      </c>
      <c r="G58" s="10">
        <v>66.657499999999999</v>
      </c>
      <c r="H58" s="10">
        <v>2.6709999999999998</v>
      </c>
      <c r="I58" s="10">
        <v>158</v>
      </c>
      <c r="J58" s="11">
        <v>1727</v>
      </c>
      <c r="K58" s="11">
        <v>764</v>
      </c>
      <c r="L58" s="4">
        <v>42041.200000000004</v>
      </c>
      <c r="M58" s="14">
        <v>15381.6</v>
      </c>
      <c r="N58" s="14">
        <v>6044</v>
      </c>
      <c r="O58" s="9">
        <v>16569.2</v>
      </c>
      <c r="P58" s="9">
        <v>2305.6</v>
      </c>
      <c r="Q58" s="9">
        <v>1740.8</v>
      </c>
      <c r="R58" s="11">
        <v>0</v>
      </c>
      <c r="S58" s="12"/>
      <c r="T58" s="12"/>
      <c r="U58" s="11"/>
      <c r="V58" s="11"/>
      <c r="W58" s="11"/>
      <c r="X58" s="11"/>
      <c r="Y58" s="39">
        <v>130</v>
      </c>
      <c r="Z58" s="8">
        <v>21.46</v>
      </c>
      <c r="AA58" s="39">
        <v>130</v>
      </c>
      <c r="AB58" s="39">
        <v>2.1666666666666665</v>
      </c>
      <c r="AC58" s="7"/>
    </row>
    <row r="59" spans="1:29" ht="14.4" customHeight="1" x14ac:dyDescent="0.3">
      <c r="A59">
        <v>2025</v>
      </c>
      <c r="B59">
        <v>37</v>
      </c>
      <c r="C59" s="4" t="s">
        <v>136</v>
      </c>
      <c r="D59" s="10">
        <v>65.983333333333334</v>
      </c>
      <c r="E59" s="10"/>
      <c r="F59" s="10">
        <v>1883</v>
      </c>
      <c r="G59" s="10">
        <v>66.335374999999999</v>
      </c>
      <c r="H59" s="10">
        <v>2.7639999999999998</v>
      </c>
      <c r="I59" s="10">
        <v>140</v>
      </c>
      <c r="J59" s="11">
        <v>1713</v>
      </c>
      <c r="K59" s="11">
        <v>782</v>
      </c>
      <c r="L59" s="4">
        <v>55901</v>
      </c>
      <c r="M59" s="14">
        <v>15320</v>
      </c>
      <c r="N59" s="14">
        <v>15993</v>
      </c>
      <c r="O59" s="9">
        <v>18868</v>
      </c>
      <c r="P59" s="9">
        <v>2580</v>
      </c>
      <c r="Q59" s="9">
        <v>3140</v>
      </c>
      <c r="R59" s="11">
        <v>0</v>
      </c>
      <c r="S59" s="12"/>
      <c r="T59" s="12"/>
      <c r="U59" s="11"/>
      <c r="V59" s="11"/>
      <c r="W59" s="11"/>
      <c r="X59" s="11"/>
      <c r="Y59" s="39">
        <v>125</v>
      </c>
      <c r="Z59" s="8">
        <v>19.439999999999998</v>
      </c>
      <c r="AA59" s="39">
        <v>125</v>
      </c>
      <c r="AB59" s="39">
        <v>2.0833333333333335</v>
      </c>
      <c r="AC59" s="7"/>
    </row>
    <row r="60" spans="1:29" ht="14.4" customHeight="1" x14ac:dyDescent="0.3">
      <c r="A60">
        <v>2025</v>
      </c>
      <c r="B60">
        <v>38</v>
      </c>
      <c r="C60" s="4" t="s">
        <v>137</v>
      </c>
      <c r="D60" s="10">
        <v>66.766666666666666</v>
      </c>
      <c r="E60" s="10"/>
      <c r="F60" s="10">
        <v>658</v>
      </c>
      <c r="G60" s="10">
        <v>66.065583333333336</v>
      </c>
      <c r="H60" s="10">
        <v>2.605</v>
      </c>
      <c r="I60" s="10">
        <v>134</v>
      </c>
      <c r="J60" s="11">
        <v>1739</v>
      </c>
      <c r="K60" s="11">
        <v>772</v>
      </c>
      <c r="L60" s="4">
        <v>53379</v>
      </c>
      <c r="M60" s="14">
        <v>20700</v>
      </c>
      <c r="N60" s="14">
        <v>9795</v>
      </c>
      <c r="O60" s="9">
        <v>18164</v>
      </c>
      <c r="P60" s="9">
        <v>1800</v>
      </c>
      <c r="Q60" s="9">
        <v>2920</v>
      </c>
      <c r="R60" s="11">
        <v>0</v>
      </c>
      <c r="S60" s="12"/>
      <c r="T60" s="12"/>
      <c r="U60" s="11"/>
      <c r="V60" s="11"/>
      <c r="W60" s="11"/>
      <c r="X60" s="11"/>
      <c r="Y60" s="39">
        <v>116</v>
      </c>
      <c r="Z60" s="8">
        <v>18.600000000000001</v>
      </c>
      <c r="AA60" s="39">
        <v>116</v>
      </c>
      <c r="AB60" s="39">
        <v>1.9333333333333333</v>
      </c>
      <c r="AC60" s="7"/>
    </row>
    <row r="61" spans="1:29" ht="14.4" customHeight="1" x14ac:dyDescent="0.3">
      <c r="A61">
        <v>2025</v>
      </c>
      <c r="B61">
        <v>39</v>
      </c>
      <c r="C61" s="4" t="s">
        <v>138</v>
      </c>
      <c r="D61" s="10">
        <v>67.400000000000006</v>
      </c>
      <c r="E61" s="10"/>
      <c r="F61" s="10">
        <v>91</v>
      </c>
      <c r="G61" s="10">
        <v>66.778041666666667</v>
      </c>
      <c r="H61" s="10">
        <v>2.819</v>
      </c>
      <c r="I61" s="10">
        <v>112</v>
      </c>
      <c r="J61" s="11">
        <v>1774</v>
      </c>
      <c r="K61" s="11">
        <v>1032</v>
      </c>
      <c r="L61" s="4">
        <v>34347</v>
      </c>
      <c r="M61" s="14">
        <v>11360</v>
      </c>
      <c r="N61" s="14">
        <v>11475</v>
      </c>
      <c r="O61" s="9">
        <v>9922</v>
      </c>
      <c r="P61" s="9">
        <v>790</v>
      </c>
      <c r="Q61" s="9">
        <v>800</v>
      </c>
      <c r="R61" s="11">
        <v>0</v>
      </c>
      <c r="S61" s="12"/>
      <c r="T61" s="12"/>
      <c r="U61" s="11"/>
      <c r="V61" s="11"/>
      <c r="W61" s="11"/>
      <c r="X61" s="11"/>
      <c r="Y61" s="39">
        <v>248</v>
      </c>
      <c r="Z61" s="8">
        <v>40.129999999999995</v>
      </c>
      <c r="AA61" s="39">
        <v>248</v>
      </c>
      <c r="AB61" s="39">
        <v>4.1333333333333337</v>
      </c>
      <c r="AC61" s="7"/>
    </row>
    <row r="62" spans="1:29" ht="14.4" customHeight="1" x14ac:dyDescent="0.3">
      <c r="A62">
        <v>2025</v>
      </c>
      <c r="B62">
        <v>40</v>
      </c>
      <c r="C62" s="4" t="s">
        <v>139</v>
      </c>
      <c r="D62" s="10">
        <v>67.25</v>
      </c>
      <c r="E62" s="10"/>
      <c r="F62" s="10">
        <v>462</v>
      </c>
      <c r="G62" s="10">
        <v>67.457750000000004</v>
      </c>
      <c r="H62" s="10">
        <v>2.8690000000000002</v>
      </c>
      <c r="I62" s="10">
        <v>143</v>
      </c>
      <c r="J62" s="11">
        <v>1764</v>
      </c>
      <c r="K62" s="11">
        <v>1039</v>
      </c>
      <c r="L62" s="4">
        <v>44221</v>
      </c>
      <c r="M62" s="14">
        <v>12836</v>
      </c>
      <c r="N62" s="14">
        <v>19927</v>
      </c>
      <c r="O62" s="9">
        <v>8890</v>
      </c>
      <c r="P62" s="9">
        <v>1668</v>
      </c>
      <c r="Q62" s="9">
        <v>900</v>
      </c>
      <c r="R62" s="11">
        <v>0</v>
      </c>
      <c r="S62" s="12"/>
      <c r="T62" s="12"/>
      <c r="U62" s="11"/>
      <c r="V62" s="11"/>
      <c r="W62" s="11"/>
      <c r="X62" s="11"/>
      <c r="Y62" s="39">
        <v>184</v>
      </c>
      <c r="Z62" s="8">
        <v>29.42</v>
      </c>
      <c r="AA62" s="39">
        <v>184</v>
      </c>
      <c r="AB62" s="39">
        <v>3.0666666666666669</v>
      </c>
      <c r="AC62" s="7"/>
    </row>
    <row r="63" spans="1:29" ht="14.4" customHeight="1" x14ac:dyDescent="0.3">
      <c r="A63">
        <v>2025</v>
      </c>
      <c r="B63">
        <v>41</v>
      </c>
      <c r="C63" s="4" t="s">
        <v>140</v>
      </c>
      <c r="D63" s="10">
        <v>66.766666666666666</v>
      </c>
      <c r="E63" s="10"/>
      <c r="F63" s="10">
        <v>1470</v>
      </c>
      <c r="G63" s="10">
        <v>67.433750000000003</v>
      </c>
      <c r="H63" s="10">
        <v>2.887</v>
      </c>
      <c r="I63" s="10">
        <v>140</v>
      </c>
      <c r="J63" s="11">
        <v>1765</v>
      </c>
      <c r="K63" s="11">
        <v>912</v>
      </c>
      <c r="L63" s="4">
        <v>59278</v>
      </c>
      <c r="M63" s="14">
        <v>23380</v>
      </c>
      <c r="N63" s="14">
        <v>12846</v>
      </c>
      <c r="O63" s="9">
        <v>19292</v>
      </c>
      <c r="P63" s="9">
        <v>1600</v>
      </c>
      <c r="Q63" s="9">
        <v>2160</v>
      </c>
      <c r="R63" s="11">
        <v>0</v>
      </c>
      <c r="S63" s="12"/>
      <c r="T63" s="12"/>
      <c r="U63" s="11"/>
      <c r="V63" s="11"/>
      <c r="W63" s="11"/>
      <c r="X63" s="11"/>
      <c r="Y63" s="39">
        <v>134</v>
      </c>
      <c r="Z63" s="8">
        <v>22.24</v>
      </c>
      <c r="AA63" s="39">
        <v>134</v>
      </c>
      <c r="AB63" s="39">
        <v>2.2333333333333334</v>
      </c>
      <c r="AC63" s="7"/>
    </row>
    <row r="64" spans="1:29" ht="14.4" customHeight="1" x14ac:dyDescent="0.3">
      <c r="A64">
        <v>2025</v>
      </c>
      <c r="B64">
        <v>42</v>
      </c>
      <c r="C64" s="4" t="s">
        <v>141</v>
      </c>
      <c r="D64" s="10">
        <v>67.3</v>
      </c>
      <c r="E64" s="10"/>
      <c r="F64" s="10">
        <v>2576</v>
      </c>
      <c r="G64" s="10">
        <v>67.088666666666654</v>
      </c>
      <c r="H64" s="10">
        <v>2.95</v>
      </c>
      <c r="I64" s="10">
        <v>148</v>
      </c>
      <c r="J64" s="11">
        <v>1754</v>
      </c>
      <c r="K64" s="11">
        <v>828</v>
      </c>
      <c r="L64" s="4">
        <v>53088</v>
      </c>
      <c r="M64" s="14">
        <v>22160</v>
      </c>
      <c r="N64" s="14">
        <v>13340</v>
      </c>
      <c r="O64" s="9">
        <v>12188</v>
      </c>
      <c r="P64" s="9">
        <v>2520</v>
      </c>
      <c r="Q64" s="9">
        <v>2880</v>
      </c>
      <c r="R64" s="11">
        <v>0</v>
      </c>
      <c r="S64" s="12"/>
      <c r="T64" s="12"/>
      <c r="U64" s="11"/>
      <c r="V64" s="11"/>
      <c r="W64" s="11"/>
      <c r="X64" s="11"/>
      <c r="Y64" s="39">
        <v>152</v>
      </c>
      <c r="Z64" s="8">
        <v>26.95</v>
      </c>
      <c r="AA64" s="39">
        <v>152</v>
      </c>
      <c r="AB64" s="39">
        <v>2.5333333333333332</v>
      </c>
      <c r="AC64" s="7"/>
    </row>
    <row r="65" spans="1:29" ht="14.4" customHeight="1" x14ac:dyDescent="0.3">
      <c r="A65">
        <v>2025</v>
      </c>
      <c r="B65">
        <v>43</v>
      </c>
      <c r="C65" s="4" t="s">
        <v>142</v>
      </c>
      <c r="D65" s="10">
        <v>67.599999999999994</v>
      </c>
      <c r="E65" s="10"/>
      <c r="F65" s="10">
        <v>2842</v>
      </c>
      <c r="G65" s="10">
        <v>67.655249999999995</v>
      </c>
      <c r="H65" s="10">
        <v>2.9729999999999999</v>
      </c>
      <c r="I65" s="10">
        <v>150</v>
      </c>
      <c r="J65" s="11">
        <v>1761</v>
      </c>
      <c r="K65" s="11">
        <v>806</v>
      </c>
      <c r="L65" s="4">
        <v>60060.24</v>
      </c>
      <c r="M65" s="14">
        <v>23806</v>
      </c>
      <c r="N65" s="14">
        <v>23502.639999999999</v>
      </c>
      <c r="O65" s="9">
        <v>7378.8</v>
      </c>
      <c r="P65" s="9">
        <v>3155.2</v>
      </c>
      <c r="Q65" s="9">
        <v>2217.6</v>
      </c>
      <c r="R65" s="11">
        <v>0</v>
      </c>
      <c r="S65" s="12"/>
      <c r="T65" s="12"/>
      <c r="U65" s="11"/>
      <c r="V65" s="11"/>
      <c r="W65" s="11"/>
      <c r="X65" s="11"/>
      <c r="Y65" s="39">
        <v>121</v>
      </c>
      <c r="Z65" s="8">
        <v>20.759999999999998</v>
      </c>
      <c r="AA65" s="39">
        <v>121</v>
      </c>
      <c r="AB65" s="39">
        <v>2.0166666666666666</v>
      </c>
      <c r="AC65" s="7"/>
    </row>
    <row r="66" spans="1:29" ht="14.4" customHeight="1" x14ac:dyDescent="0.3">
      <c r="A66">
        <v>2025</v>
      </c>
      <c r="B66">
        <v>44</v>
      </c>
      <c r="C66" s="4" t="s">
        <v>143</v>
      </c>
      <c r="D66" s="10">
        <v>68.600000000000009</v>
      </c>
      <c r="E66" s="10"/>
      <c r="F66" s="10">
        <v>336</v>
      </c>
      <c r="G66" s="10">
        <v>67.641999999999996</v>
      </c>
      <c r="H66" s="10">
        <v>2.6859999999999999</v>
      </c>
      <c r="I66" s="10">
        <v>138</v>
      </c>
      <c r="J66" s="11">
        <v>1780</v>
      </c>
      <c r="K66" s="11">
        <v>858</v>
      </c>
      <c r="L66" s="4">
        <v>44396</v>
      </c>
      <c r="M66" s="14">
        <v>15170</v>
      </c>
      <c r="N66" s="14">
        <v>13278</v>
      </c>
      <c r="O66" s="9">
        <v>13008</v>
      </c>
      <c r="P66" s="9">
        <v>840</v>
      </c>
      <c r="Q66" s="9">
        <v>2100</v>
      </c>
      <c r="R66" s="11">
        <v>0</v>
      </c>
      <c r="S66" s="12"/>
      <c r="T66" s="12"/>
      <c r="U66" s="11"/>
      <c r="V66" s="11"/>
      <c r="W66" s="11"/>
      <c r="X66" s="11"/>
      <c r="Y66" s="39">
        <v>32</v>
      </c>
      <c r="Z66" s="8">
        <v>5</v>
      </c>
      <c r="AA66" s="39">
        <v>32</v>
      </c>
      <c r="AB66" s="39">
        <v>0.53333333333333333</v>
      </c>
      <c r="AC66" s="7"/>
    </row>
    <row r="67" spans="1:29" ht="14.4" customHeight="1" x14ac:dyDescent="0.3">
      <c r="A67">
        <v>2025</v>
      </c>
      <c r="B67">
        <v>45</v>
      </c>
      <c r="C67" s="4" t="s">
        <v>144</v>
      </c>
      <c r="D67" s="10">
        <v>68.116666666666674</v>
      </c>
      <c r="E67" s="10"/>
      <c r="F67" s="10">
        <v>-287</v>
      </c>
      <c r="G67" s="10">
        <v>68.564125000000004</v>
      </c>
      <c r="H67" s="10">
        <v>2.7370000000000001</v>
      </c>
      <c r="I67" s="10">
        <v>149</v>
      </c>
      <c r="J67" s="11">
        <v>1789</v>
      </c>
      <c r="K67" s="11">
        <v>989</v>
      </c>
      <c r="L67" s="4">
        <v>77134</v>
      </c>
      <c r="M67" s="14">
        <v>36060</v>
      </c>
      <c r="N67" s="14">
        <v>19572</v>
      </c>
      <c r="O67" s="9">
        <v>17332</v>
      </c>
      <c r="P67" s="9">
        <v>2070</v>
      </c>
      <c r="Q67" s="9">
        <v>2100</v>
      </c>
      <c r="R67" s="11">
        <v>0</v>
      </c>
      <c r="S67" s="12"/>
      <c r="T67" s="12"/>
      <c r="U67" s="11"/>
      <c r="V67" s="11"/>
      <c r="W67" s="11"/>
      <c r="X67" s="11"/>
      <c r="Y67" s="39">
        <v>119</v>
      </c>
      <c r="Z67" s="8">
        <v>22</v>
      </c>
      <c r="AA67" s="39">
        <v>119</v>
      </c>
      <c r="AB67" s="39">
        <v>1.9833333333333334</v>
      </c>
      <c r="AC67" s="7"/>
    </row>
    <row r="68" spans="1:29" ht="14.4" customHeight="1" x14ac:dyDescent="0.3">
      <c r="A68">
        <v>2025</v>
      </c>
      <c r="B68">
        <v>46</v>
      </c>
      <c r="C68" s="4" t="s">
        <v>145</v>
      </c>
      <c r="D68" s="10">
        <v>68.5</v>
      </c>
      <c r="E68" s="10"/>
      <c r="F68" s="10">
        <v>-77</v>
      </c>
      <c r="G68" s="10">
        <v>68.107041666666674</v>
      </c>
      <c r="H68" s="10">
        <v>2.8740000000000001</v>
      </c>
      <c r="I68" s="10">
        <v>151</v>
      </c>
      <c r="J68" s="11">
        <v>1793</v>
      </c>
      <c r="K68" s="11">
        <v>1092</v>
      </c>
      <c r="L68" s="4">
        <v>58134</v>
      </c>
      <c r="M68" s="14">
        <v>24890</v>
      </c>
      <c r="N68" s="14">
        <v>17504</v>
      </c>
      <c r="O68" s="9">
        <v>12974</v>
      </c>
      <c r="P68" s="9">
        <v>1252</v>
      </c>
      <c r="Q68" s="9">
        <v>1514</v>
      </c>
      <c r="R68" s="11">
        <v>0</v>
      </c>
      <c r="S68" s="12"/>
      <c r="T68" s="12"/>
      <c r="U68" s="11"/>
      <c r="V68" s="11"/>
      <c r="W68" s="11"/>
      <c r="X68" s="11"/>
      <c r="Y68" s="39">
        <v>162</v>
      </c>
      <c r="Z68" s="8">
        <v>28</v>
      </c>
      <c r="AA68" s="39">
        <v>162</v>
      </c>
      <c r="AB68" s="39">
        <v>2.7</v>
      </c>
      <c r="AC68" s="7"/>
    </row>
    <row r="69" spans="1:29" ht="14.4" customHeight="1" x14ac:dyDescent="0.3">
      <c r="A69">
        <v>2025</v>
      </c>
      <c r="B69">
        <v>47</v>
      </c>
      <c r="C69" s="4" t="s">
        <v>146</v>
      </c>
      <c r="D69" s="10">
        <v>68.666666666666671</v>
      </c>
      <c r="E69" s="10"/>
      <c r="F69" s="10">
        <v>-1617</v>
      </c>
      <c r="G69" s="10">
        <v>68.297875000000005</v>
      </c>
      <c r="H69" s="10">
        <v>2.343</v>
      </c>
      <c r="I69" s="10">
        <v>126</v>
      </c>
      <c r="J69" s="11">
        <v>1779</v>
      </c>
      <c r="K69" s="11">
        <v>795</v>
      </c>
      <c r="L69" s="4">
        <v>41984</v>
      </c>
      <c r="M69" s="14">
        <v>18520</v>
      </c>
      <c r="N69" s="14">
        <v>14544</v>
      </c>
      <c r="O69" s="9">
        <v>7264</v>
      </c>
      <c r="P69" s="9">
        <v>1656</v>
      </c>
      <c r="Q69" s="9">
        <v>0</v>
      </c>
      <c r="R69" s="11">
        <v>0</v>
      </c>
      <c r="S69" s="12"/>
      <c r="T69" s="12"/>
      <c r="U69" s="11"/>
      <c r="V69" s="11"/>
      <c r="W69" s="11"/>
      <c r="X69" s="11"/>
      <c r="Y69" s="39">
        <v>130</v>
      </c>
      <c r="Z69" s="8">
        <v>21</v>
      </c>
      <c r="AA69" s="39">
        <v>130</v>
      </c>
      <c r="AB69" s="39">
        <v>2.1666666666666665</v>
      </c>
      <c r="AC69" s="7"/>
    </row>
    <row r="70" spans="1:29" ht="14.4" customHeight="1" x14ac:dyDescent="0.3">
      <c r="A70">
        <v>2025</v>
      </c>
      <c r="B70">
        <v>48</v>
      </c>
      <c r="C70" s="4" t="s">
        <v>147</v>
      </c>
      <c r="D70" s="10">
        <v>68.600000000000009</v>
      </c>
      <c r="E70" s="10"/>
      <c r="F70" s="10">
        <v>735</v>
      </c>
      <c r="G70" s="10">
        <v>68.758541666666673</v>
      </c>
      <c r="H70" s="10">
        <v>2.8940000000000001</v>
      </c>
      <c r="I70" s="10">
        <v>150</v>
      </c>
      <c r="J70" s="11">
        <v>1792</v>
      </c>
      <c r="K70" s="11">
        <v>997</v>
      </c>
      <c r="L70" s="4">
        <v>62555</v>
      </c>
      <c r="M70" s="14">
        <v>29020</v>
      </c>
      <c r="N70" s="14">
        <v>20578</v>
      </c>
      <c r="O70" s="9">
        <v>9357</v>
      </c>
      <c r="P70" s="9">
        <v>720</v>
      </c>
      <c r="Q70" s="9">
        <v>2880</v>
      </c>
      <c r="R70" s="11">
        <v>0</v>
      </c>
      <c r="S70" s="12"/>
      <c r="T70" s="12"/>
      <c r="U70" s="11"/>
      <c r="V70" s="11"/>
      <c r="W70" s="11"/>
      <c r="X70" s="11"/>
      <c r="Y70" s="39">
        <v>174</v>
      </c>
      <c r="Z70" s="8">
        <v>30.78</v>
      </c>
      <c r="AA70" s="39">
        <v>174</v>
      </c>
      <c r="AB70" s="39">
        <v>2.9</v>
      </c>
      <c r="AC70" s="7"/>
    </row>
    <row r="71" spans="1:29" ht="14.4" customHeight="1" x14ac:dyDescent="0.3">
      <c r="A71">
        <v>2025</v>
      </c>
      <c r="B71">
        <v>49</v>
      </c>
      <c r="C71" s="4" t="s">
        <v>148</v>
      </c>
      <c r="D71" s="10">
        <v>68.971428571428575</v>
      </c>
      <c r="E71" s="10"/>
      <c r="F71" s="10">
        <v>-833</v>
      </c>
      <c r="G71" s="10">
        <v>68.495874999999998</v>
      </c>
      <c r="H71" s="10">
        <v>2.74</v>
      </c>
      <c r="I71" s="10">
        <v>141</v>
      </c>
      <c r="J71" s="11">
        <v>1790</v>
      </c>
      <c r="K71" s="11">
        <v>1069</v>
      </c>
      <c r="L71" s="4">
        <v>53952</v>
      </c>
      <c r="M71" s="14">
        <v>28540</v>
      </c>
      <c r="N71" s="14">
        <v>11510</v>
      </c>
      <c r="O71" s="9">
        <v>10482</v>
      </c>
      <c r="P71" s="9">
        <v>1620</v>
      </c>
      <c r="Q71" s="9">
        <v>1800</v>
      </c>
      <c r="R71" s="11">
        <v>0</v>
      </c>
      <c r="S71" s="12"/>
      <c r="T71" s="12"/>
      <c r="U71" s="11"/>
      <c r="V71" s="11"/>
      <c r="W71" s="11"/>
      <c r="X71" s="11"/>
      <c r="Y71" s="39">
        <v>204</v>
      </c>
      <c r="Z71" s="8">
        <v>35.880000000000003</v>
      </c>
      <c r="AA71" s="39">
        <v>204</v>
      </c>
      <c r="AB71" s="39">
        <v>3.4</v>
      </c>
      <c r="AC71" s="7"/>
    </row>
    <row r="72" spans="1:29" ht="14.4" customHeight="1" x14ac:dyDescent="0.3">
      <c r="A72">
        <v>2025</v>
      </c>
      <c r="B72">
        <v>50</v>
      </c>
      <c r="C72" s="4" t="s">
        <v>149</v>
      </c>
      <c r="D72" s="10">
        <v>68.916666666666657</v>
      </c>
      <c r="E72" s="10"/>
      <c r="F72" s="10">
        <v>602</v>
      </c>
      <c r="G72" s="10">
        <v>68.991916666666654</v>
      </c>
      <c r="H72" s="10">
        <v>2.8559999999999999</v>
      </c>
      <c r="I72" s="10">
        <v>135</v>
      </c>
      <c r="J72" s="11">
        <v>1800</v>
      </c>
      <c r="K72" s="11">
        <v>970</v>
      </c>
      <c r="L72" s="4">
        <v>77052.900000000009</v>
      </c>
      <c r="M72" s="14">
        <v>35281.100000000006</v>
      </c>
      <c r="N72" s="14">
        <v>21129</v>
      </c>
      <c r="O72" s="9">
        <v>18892.8</v>
      </c>
      <c r="P72" s="9">
        <v>1030</v>
      </c>
      <c r="Q72" s="9">
        <v>720</v>
      </c>
      <c r="R72" s="11">
        <v>0</v>
      </c>
      <c r="S72" s="12"/>
      <c r="T72" s="12"/>
      <c r="U72" s="11"/>
      <c r="V72" s="11"/>
      <c r="W72" s="11"/>
      <c r="X72" s="11"/>
      <c r="Y72" s="39">
        <v>61</v>
      </c>
      <c r="Z72" s="8">
        <v>10.25</v>
      </c>
      <c r="AA72" s="39">
        <v>61</v>
      </c>
      <c r="AB72" s="39">
        <v>1.0166666666666666</v>
      </c>
      <c r="AC72" s="7"/>
    </row>
    <row r="73" spans="1:29" ht="14.4" customHeight="1" x14ac:dyDescent="0.3">
      <c r="A73">
        <v>2025</v>
      </c>
      <c r="B73">
        <v>51</v>
      </c>
      <c r="C73" s="4" t="s">
        <v>150</v>
      </c>
      <c r="D73" s="10">
        <v>69.8</v>
      </c>
      <c r="E73" s="10"/>
      <c r="F73" s="10">
        <v>2317</v>
      </c>
      <c r="G73" s="10">
        <v>70.089624999999998</v>
      </c>
      <c r="H73" s="10">
        <v>2.956</v>
      </c>
      <c r="I73" s="10">
        <v>136</v>
      </c>
      <c r="J73" s="11">
        <v>1814</v>
      </c>
      <c r="K73" s="11">
        <v>811</v>
      </c>
      <c r="L73" s="4">
        <v>29486</v>
      </c>
      <c r="M73" s="14">
        <v>11680</v>
      </c>
      <c r="N73" s="14">
        <v>7294</v>
      </c>
      <c r="O73" s="9">
        <v>8312</v>
      </c>
      <c r="P73" s="9">
        <v>1120</v>
      </c>
      <c r="Q73" s="9">
        <v>1080</v>
      </c>
      <c r="R73" s="11">
        <v>0</v>
      </c>
      <c r="S73" s="12"/>
      <c r="T73" s="12"/>
      <c r="U73" s="11"/>
      <c r="V73" s="11"/>
      <c r="W73" s="11"/>
      <c r="X73" s="11"/>
      <c r="Y73" s="39">
        <v>146</v>
      </c>
      <c r="Z73" s="8">
        <v>27.2</v>
      </c>
      <c r="AA73" s="39">
        <v>146</v>
      </c>
      <c r="AB73" s="39">
        <v>2.4333333333333331</v>
      </c>
      <c r="AC73" s="7"/>
    </row>
    <row r="74" spans="1:29" ht="14.4" customHeight="1" x14ac:dyDescent="0.3">
      <c r="A74">
        <v>2025</v>
      </c>
      <c r="B74">
        <v>52</v>
      </c>
      <c r="C74" s="4" t="s">
        <v>151</v>
      </c>
      <c r="D74" s="10">
        <v>69.8</v>
      </c>
      <c r="E74" s="10"/>
      <c r="F74" s="10">
        <v>2205</v>
      </c>
      <c r="G74" s="10">
        <v>70.075625000000002</v>
      </c>
      <c r="H74" s="10">
        <v>2.968</v>
      </c>
      <c r="I74" s="10">
        <v>135</v>
      </c>
      <c r="J74" s="11">
        <v>1802</v>
      </c>
      <c r="K74" s="11">
        <v>851</v>
      </c>
      <c r="L74" s="4">
        <v>39106</v>
      </c>
      <c r="M74" s="14">
        <v>15648</v>
      </c>
      <c r="N74" s="14">
        <v>5520</v>
      </c>
      <c r="O74" s="9">
        <v>16390</v>
      </c>
      <c r="P74" s="9">
        <v>1548</v>
      </c>
      <c r="Q74" s="9">
        <v>0</v>
      </c>
      <c r="R74" s="11">
        <v>0</v>
      </c>
      <c r="S74" s="12"/>
      <c r="T74" s="12"/>
      <c r="U74" s="11"/>
      <c r="V74" s="11"/>
      <c r="W74" s="11"/>
      <c r="X74" s="11"/>
      <c r="Y74" s="39">
        <v>103</v>
      </c>
      <c r="Z74" s="8">
        <v>18.22</v>
      </c>
      <c r="AA74" s="39">
        <v>103</v>
      </c>
      <c r="AB74" s="39">
        <v>1.7166666666666666</v>
      </c>
      <c r="AC74" s="7"/>
    </row>
    <row r="75" spans="1:29" ht="14.4" customHeight="1" x14ac:dyDescent="0.3">
      <c r="A75">
        <v>2025</v>
      </c>
      <c r="B75">
        <v>53</v>
      </c>
      <c r="C75" s="4" t="s">
        <v>152</v>
      </c>
      <c r="D75" s="10">
        <v>69.8</v>
      </c>
      <c r="E75" s="10"/>
      <c r="F75" s="10">
        <v>2205</v>
      </c>
      <c r="G75" s="10">
        <v>70.075625000000002</v>
      </c>
      <c r="H75" s="10">
        <v>2.968</v>
      </c>
      <c r="I75" s="10">
        <v>135</v>
      </c>
      <c r="J75" s="11">
        <v>1802</v>
      </c>
      <c r="K75" s="11">
        <v>851</v>
      </c>
      <c r="L75" s="4">
        <v>0</v>
      </c>
      <c r="M75" s="14">
        <v>0</v>
      </c>
      <c r="N75" s="14">
        <v>0</v>
      </c>
      <c r="O75" s="9">
        <v>0</v>
      </c>
      <c r="P75" s="9">
        <v>0</v>
      </c>
      <c r="Q75" s="9">
        <v>0</v>
      </c>
      <c r="R75" s="11">
        <v>0</v>
      </c>
      <c r="S75" s="12"/>
      <c r="T75" s="12"/>
      <c r="U75" s="11"/>
      <c r="V75" s="11"/>
      <c r="W75" s="11"/>
      <c r="X75" s="11"/>
      <c r="Y75" s="39">
        <v>0</v>
      </c>
      <c r="Z75" s="8">
        <v>0</v>
      </c>
      <c r="AA75" s="39">
        <v>0</v>
      </c>
      <c r="AB75" s="39">
        <v>0</v>
      </c>
      <c r="AC75" s="7"/>
    </row>
    <row r="76" spans="1:29" x14ac:dyDescent="0.3">
      <c r="A76">
        <v>2026</v>
      </c>
      <c r="B76" s="4">
        <v>1</v>
      </c>
      <c r="C76" s="4" t="s">
        <v>153</v>
      </c>
      <c r="D76" s="1">
        <v>69.849999999999994</v>
      </c>
      <c r="E76" s="1">
        <v>262</v>
      </c>
      <c r="F76" s="10">
        <v>-1351</v>
      </c>
      <c r="G76" s="10">
        <v>69.681124999999994</v>
      </c>
      <c r="H76" s="5">
        <v>2.4889999999999999</v>
      </c>
      <c r="I76" s="43">
        <v>130</v>
      </c>
      <c r="J76" s="5">
        <v>1803</v>
      </c>
      <c r="K76" s="5">
        <v>879</v>
      </c>
      <c r="L76" s="4">
        <v>36183.360000000001</v>
      </c>
      <c r="M76">
        <v>19448.82</v>
      </c>
      <c r="N76">
        <v>7159.4400000000005</v>
      </c>
      <c r="O76">
        <v>6539.1</v>
      </c>
      <c r="P76">
        <v>2088</v>
      </c>
      <c r="Q76">
        <v>864</v>
      </c>
      <c r="R76">
        <v>84</v>
      </c>
      <c r="S76">
        <v>41</v>
      </c>
      <c r="T76">
        <v>16</v>
      </c>
      <c r="U76">
        <v>13</v>
      </c>
      <c r="V76">
        <v>15</v>
      </c>
      <c r="W76">
        <v>3</v>
      </c>
      <c r="X76">
        <v>17</v>
      </c>
      <c r="Y76">
        <v>55.5</v>
      </c>
      <c r="Z76">
        <v>9</v>
      </c>
      <c r="AA76" s="39">
        <v>317.5</v>
      </c>
      <c r="AB76" s="39">
        <v>5.291666666666667</v>
      </c>
    </row>
    <row r="77" spans="1:29" x14ac:dyDescent="0.3">
      <c r="A77">
        <v>2026</v>
      </c>
      <c r="B77" s="4">
        <v>2</v>
      </c>
      <c r="C77" s="4" t="s">
        <v>154</v>
      </c>
      <c r="F77" s="1">
        <v>0</v>
      </c>
      <c r="G77" s="10" t="s">
        <v>155</v>
      </c>
      <c r="H77" s="5"/>
      <c r="I77" s="43"/>
      <c r="J77" s="5"/>
      <c r="K77" s="5"/>
      <c r="L77" s="4"/>
      <c r="Y77" s="39"/>
      <c r="Z77" s="8"/>
      <c r="AA77" s="39"/>
      <c r="AB77" s="39"/>
    </row>
    <row r="78" spans="1:29" x14ac:dyDescent="0.3">
      <c r="B78" s="4"/>
      <c r="C78" s="4"/>
      <c r="G78" s="10"/>
      <c r="H78" s="5"/>
      <c r="I78" s="43"/>
      <c r="J78" s="5"/>
      <c r="K78" s="5"/>
      <c r="L78" s="4"/>
      <c r="Y78" s="39"/>
      <c r="Z78" s="8"/>
      <c r="AA78" s="39"/>
      <c r="AB78" s="39"/>
    </row>
    <row r="79" spans="1:29" x14ac:dyDescent="0.3">
      <c r="B79" s="4"/>
      <c r="C79" s="4"/>
      <c r="G79" s="10"/>
      <c r="H79" s="5"/>
      <c r="I79" s="43"/>
      <c r="J79" s="5"/>
      <c r="K79" s="5"/>
      <c r="L79" s="4"/>
      <c r="Y79" s="39"/>
      <c r="Z79" s="8"/>
      <c r="AA79" s="39"/>
      <c r="AB79" s="39"/>
    </row>
    <row r="80" spans="1:29" x14ac:dyDescent="0.3">
      <c r="B80" s="4"/>
      <c r="C80" s="4"/>
      <c r="G80" s="10"/>
      <c r="H80" s="5"/>
      <c r="I80" s="43"/>
      <c r="J80" s="5"/>
      <c r="K80" s="5"/>
      <c r="L80" s="4"/>
      <c r="Y80" s="39"/>
      <c r="Z80" s="8"/>
      <c r="AA80" s="39"/>
      <c r="AB80" s="39"/>
    </row>
    <row r="81" spans="2:28" x14ac:dyDescent="0.3">
      <c r="B81" s="4"/>
      <c r="C81" s="4"/>
      <c r="G81" s="10"/>
      <c r="H81" s="5"/>
      <c r="I81" s="43"/>
      <c r="J81" s="5"/>
      <c r="K81" s="5"/>
      <c r="L81" s="4"/>
      <c r="Y81" s="39"/>
      <c r="Z81" s="8"/>
      <c r="AA81" s="39"/>
      <c r="AB81" s="39"/>
    </row>
    <row r="82" spans="2:28" x14ac:dyDescent="0.3">
      <c r="B82" s="4"/>
      <c r="C82" s="4"/>
      <c r="G82" s="10"/>
      <c r="H82" s="5"/>
      <c r="I82" s="43"/>
      <c r="J82" s="5"/>
      <c r="K82" s="5"/>
      <c r="L82" s="4"/>
      <c r="Y82" s="39"/>
      <c r="Z82" s="8"/>
      <c r="AA82" s="39"/>
      <c r="AB82" s="39"/>
    </row>
    <row r="83" spans="2:28" x14ac:dyDescent="0.3">
      <c r="B83" s="4"/>
      <c r="C83" s="4"/>
      <c r="G83" s="10"/>
      <c r="H83" s="5"/>
      <c r="I83" s="43"/>
      <c r="J83" s="5"/>
      <c r="K83" s="5"/>
      <c r="L83" s="4"/>
      <c r="Y83" s="39"/>
      <c r="Z83" s="8"/>
      <c r="AA83" s="39"/>
      <c r="AB83" s="39"/>
    </row>
    <row r="84" spans="2:28" x14ac:dyDescent="0.3">
      <c r="B84" s="4"/>
      <c r="C84" s="4"/>
      <c r="G84" s="10"/>
      <c r="H84" s="5"/>
      <c r="I84" s="43"/>
      <c r="J84" s="5"/>
      <c r="K84" s="5"/>
      <c r="L84" s="4"/>
      <c r="Y84" s="39"/>
      <c r="Z84" s="8"/>
      <c r="AA84" s="39"/>
      <c r="AB84" s="39"/>
    </row>
    <row r="85" spans="2:28" x14ac:dyDescent="0.3">
      <c r="B85" s="4"/>
      <c r="C85" s="4"/>
      <c r="G85" s="10"/>
      <c r="H85" s="5"/>
      <c r="I85" s="43"/>
      <c r="J85" s="5"/>
      <c r="K85" s="5"/>
      <c r="L85" s="4"/>
      <c r="Y85" s="39"/>
      <c r="Z85" s="8"/>
      <c r="AA85" s="39"/>
      <c r="AB85" s="39"/>
    </row>
    <row r="86" spans="2:28" x14ac:dyDescent="0.3">
      <c r="B86" s="4"/>
      <c r="C86" s="4"/>
      <c r="G86" s="10"/>
      <c r="H86" s="5"/>
      <c r="I86" s="43"/>
      <c r="J86" s="5"/>
      <c r="K86" s="5"/>
      <c r="L86" s="4"/>
      <c r="Y86" s="39"/>
      <c r="Z86" s="8"/>
      <c r="AA86" s="39"/>
      <c r="AB86" s="39"/>
    </row>
    <row r="87" spans="2:28" x14ac:dyDescent="0.3">
      <c r="B87" s="4"/>
      <c r="C87" s="4"/>
      <c r="G87" s="10"/>
      <c r="H87" s="5"/>
      <c r="I87" s="43"/>
      <c r="J87" s="5"/>
      <c r="K87" s="5"/>
      <c r="L87" s="4"/>
      <c r="Y87" s="39"/>
      <c r="Z87" s="8"/>
      <c r="AA87" s="39"/>
      <c r="AB87" s="39"/>
    </row>
    <row r="88" spans="2:28" x14ac:dyDescent="0.3">
      <c r="B88" s="4"/>
      <c r="C88" s="4"/>
      <c r="G88" s="10"/>
      <c r="H88" s="5"/>
      <c r="I88" s="43"/>
      <c r="J88" s="5"/>
      <c r="K88" s="5"/>
      <c r="L88" s="4"/>
      <c r="Y88" s="39"/>
      <c r="Z88" s="8"/>
      <c r="AA88" s="39"/>
      <c r="AB88" s="39"/>
    </row>
    <row r="89" spans="2:28" x14ac:dyDescent="0.3">
      <c r="B89" s="4"/>
      <c r="C89" s="4"/>
      <c r="G89" s="10"/>
      <c r="H89" s="5"/>
      <c r="I89" s="43"/>
      <c r="J89" s="5"/>
      <c r="K89" s="5"/>
      <c r="L89" s="4"/>
      <c r="Y89" s="39"/>
      <c r="Z89" s="8"/>
      <c r="AA89" s="39"/>
      <c r="AB89" s="39"/>
    </row>
    <row r="90" spans="2:28" x14ac:dyDescent="0.3">
      <c r="B90" s="4"/>
      <c r="C90" s="4"/>
      <c r="G90" s="10"/>
      <c r="H90" s="5"/>
      <c r="I90" s="43"/>
      <c r="J90" s="5"/>
      <c r="K90" s="5"/>
      <c r="L90" s="4"/>
      <c r="Y90" s="39"/>
      <c r="Z90" s="8"/>
      <c r="AA90" s="39"/>
      <c r="AB90" s="39"/>
    </row>
    <row r="91" spans="2:28" x14ac:dyDescent="0.3">
      <c r="B91" s="4"/>
      <c r="C91" s="4"/>
      <c r="G91" s="10"/>
      <c r="H91" s="5"/>
      <c r="I91" s="43"/>
      <c r="J91" s="5"/>
      <c r="K91" s="5"/>
      <c r="L91" s="4"/>
      <c r="Y91" s="39"/>
      <c r="Z91" s="8"/>
      <c r="AA91" s="39"/>
      <c r="AB91" s="39"/>
    </row>
    <row r="92" spans="2:28" x14ac:dyDescent="0.3">
      <c r="B92" s="4"/>
      <c r="C92" s="4"/>
      <c r="G92" s="10"/>
      <c r="H92" s="5"/>
      <c r="I92" s="43"/>
      <c r="J92" s="5"/>
      <c r="K92" s="5"/>
      <c r="L92" s="4"/>
      <c r="Y92" s="39"/>
      <c r="Z92" s="8"/>
      <c r="AA92" s="39"/>
      <c r="AB92" s="39"/>
    </row>
    <row r="93" spans="2:28" x14ac:dyDescent="0.3">
      <c r="B93" s="4"/>
      <c r="C93" s="4"/>
      <c r="G93" s="10"/>
      <c r="H93" s="5"/>
      <c r="I93" s="43"/>
      <c r="J93" s="5"/>
      <c r="K93" s="5"/>
      <c r="L93" s="4"/>
      <c r="Y93" s="39"/>
      <c r="Z93" s="8"/>
      <c r="AA93" s="39"/>
      <c r="AB93" s="39"/>
    </row>
    <row r="94" spans="2:28" x14ac:dyDescent="0.3">
      <c r="B94" s="4"/>
      <c r="C94" s="4"/>
      <c r="G94" s="10"/>
      <c r="H94" s="5"/>
      <c r="I94" s="43"/>
      <c r="J94" s="5"/>
      <c r="K94" s="5"/>
      <c r="L94" s="4"/>
      <c r="Y94" s="39"/>
      <c r="Z94" s="8"/>
      <c r="AA94" s="39"/>
      <c r="AB94" s="39"/>
    </row>
    <row r="95" spans="2:28" x14ac:dyDescent="0.3">
      <c r="B95" s="4"/>
      <c r="C95" s="4"/>
      <c r="G95" s="10"/>
      <c r="H95" s="5"/>
      <c r="I95" s="43"/>
      <c r="J95" s="5"/>
      <c r="K95" s="5"/>
      <c r="L95" s="4"/>
      <c r="Y95" s="39"/>
      <c r="Z95" s="8"/>
      <c r="AA95" s="39"/>
      <c r="AB95" s="39"/>
    </row>
    <row r="96" spans="2:28" x14ac:dyDescent="0.3">
      <c r="B96" s="4"/>
      <c r="C96" s="4"/>
      <c r="G96" s="10"/>
      <c r="H96" s="5"/>
      <c r="I96" s="43"/>
      <c r="J96" s="5"/>
      <c r="K96" s="5"/>
      <c r="L96" s="4"/>
      <c r="Y96" s="39"/>
      <c r="Z96" s="8"/>
      <c r="AA96" s="39"/>
      <c r="AB96" s="39"/>
    </row>
    <row r="97" spans="2:28" x14ac:dyDescent="0.3">
      <c r="B97" s="4"/>
      <c r="C97" s="4"/>
      <c r="G97" s="10"/>
      <c r="H97" s="5"/>
      <c r="I97" s="43"/>
      <c r="J97" s="5"/>
      <c r="K97" s="5"/>
      <c r="L97" s="4"/>
      <c r="Y97" s="39"/>
      <c r="Z97" s="8"/>
      <c r="AA97" s="39"/>
      <c r="AB97" s="39"/>
    </row>
    <row r="98" spans="2:28" x14ac:dyDescent="0.3">
      <c r="B98" s="4"/>
      <c r="C98" s="4"/>
      <c r="G98" s="10"/>
      <c r="H98" s="5"/>
      <c r="I98" s="43"/>
      <c r="J98" s="5"/>
      <c r="K98" s="5"/>
      <c r="L98" s="4"/>
      <c r="Y98" s="39"/>
      <c r="Z98" s="8"/>
      <c r="AA98" s="39"/>
      <c r="AB98" s="39"/>
    </row>
    <row r="99" spans="2:28" x14ac:dyDescent="0.3">
      <c r="B99" s="4"/>
      <c r="C99" s="4"/>
      <c r="G99" s="10"/>
      <c r="H99" s="5"/>
      <c r="I99" s="43"/>
      <c r="J99" s="5"/>
      <c r="K99" s="5"/>
      <c r="L99" s="4"/>
      <c r="Y99" s="39"/>
      <c r="Z99" s="8"/>
      <c r="AA99" s="39"/>
      <c r="AB99" s="39"/>
    </row>
    <row r="100" spans="2:28" x14ac:dyDescent="0.3">
      <c r="B100" s="4"/>
      <c r="C100" s="4"/>
      <c r="G100" s="10"/>
      <c r="H100" s="5"/>
      <c r="I100" s="43"/>
      <c r="J100" s="5"/>
      <c r="K100" s="5"/>
      <c r="L100" s="4"/>
      <c r="Y100" s="39"/>
      <c r="Z100" s="8"/>
      <c r="AA100" s="39"/>
      <c r="AB100" s="39"/>
    </row>
    <row r="101" spans="2:28" x14ac:dyDescent="0.3">
      <c r="B101" s="4"/>
      <c r="C101" s="4"/>
      <c r="G101" s="10"/>
      <c r="H101" s="5"/>
      <c r="I101" s="43"/>
      <c r="J101" s="5"/>
      <c r="K101" s="5"/>
      <c r="L101" s="4"/>
      <c r="Y101" s="39"/>
      <c r="Z101" s="8"/>
      <c r="AA101" s="39"/>
      <c r="AB101" s="39"/>
    </row>
    <row r="102" spans="2:28" x14ac:dyDescent="0.3">
      <c r="B102" s="4"/>
      <c r="C102" s="4"/>
      <c r="G102" s="10"/>
      <c r="H102" s="5"/>
      <c r="I102" s="43"/>
      <c r="J102" s="5"/>
      <c r="K102" s="5"/>
      <c r="L102" s="4"/>
      <c r="Y102" s="39"/>
      <c r="Z102" s="8"/>
      <c r="AA102" s="39"/>
      <c r="AB102" s="39"/>
    </row>
    <row r="103" spans="2:28" x14ac:dyDescent="0.3">
      <c r="B103" s="4"/>
      <c r="C103" s="4"/>
      <c r="G103" s="10"/>
      <c r="H103" s="5"/>
      <c r="I103" s="43"/>
      <c r="J103" s="5"/>
      <c r="K103" s="5"/>
      <c r="L103" s="4"/>
      <c r="Y103" s="39"/>
      <c r="Z103" s="8"/>
      <c r="AA103" s="39"/>
      <c r="AB103" s="39"/>
    </row>
    <row r="104" spans="2:28" x14ac:dyDescent="0.3">
      <c r="B104" s="4"/>
      <c r="C104" s="4"/>
      <c r="G104" s="10"/>
      <c r="H104" s="5"/>
      <c r="I104" s="43"/>
      <c r="J104" s="5"/>
      <c r="K104" s="5"/>
      <c r="L104" s="4"/>
      <c r="Y104" s="39"/>
      <c r="Z104" s="8"/>
      <c r="AA104" s="39"/>
      <c r="AB104" s="39"/>
    </row>
    <row r="105" spans="2:28" x14ac:dyDescent="0.3">
      <c r="B105" s="4"/>
      <c r="C105" s="4"/>
      <c r="G105" s="10"/>
      <c r="H105" s="5"/>
      <c r="I105" s="43"/>
      <c r="J105" s="5"/>
      <c r="K105" s="5"/>
      <c r="L105" s="4"/>
      <c r="Y105" s="39"/>
      <c r="Z105" s="8"/>
      <c r="AA105" s="39"/>
      <c r="AB105" s="39"/>
    </row>
    <row r="106" spans="2:28" x14ac:dyDescent="0.3">
      <c r="B106" s="4"/>
      <c r="C106" s="4"/>
      <c r="G106" s="10"/>
      <c r="H106" s="5"/>
      <c r="I106" s="43"/>
      <c r="J106" s="5"/>
      <c r="K106" s="5"/>
      <c r="L106" s="4"/>
      <c r="Y106" s="39"/>
      <c r="Z106" s="8"/>
      <c r="AA106" s="39"/>
      <c r="AB106" s="39"/>
    </row>
    <row r="107" spans="2:28" x14ac:dyDescent="0.3">
      <c r="B107" s="4"/>
      <c r="C107" s="4"/>
      <c r="G107" s="10"/>
      <c r="H107" s="5"/>
      <c r="I107" s="43"/>
      <c r="J107" s="5"/>
      <c r="K107" s="5"/>
      <c r="L107" s="4"/>
      <c r="Y107" s="39"/>
      <c r="Z107" s="8"/>
      <c r="AA107" s="39"/>
      <c r="AB107" s="39"/>
    </row>
    <row r="108" spans="2:28" x14ac:dyDescent="0.3">
      <c r="B108" s="4"/>
      <c r="C108" s="4"/>
      <c r="G108" s="10"/>
      <c r="H108" s="5"/>
      <c r="I108" s="43"/>
      <c r="J108" s="5"/>
      <c r="K108" s="5"/>
      <c r="L108" s="4"/>
      <c r="R108" s="13"/>
      <c r="S108" s="13"/>
      <c r="T108" s="13"/>
      <c r="U108" s="13"/>
      <c r="V108" s="13"/>
      <c r="W108" s="13"/>
      <c r="X108" s="13"/>
      <c r="Y108" s="40"/>
      <c r="Z108" s="8"/>
      <c r="AA108" s="39"/>
      <c r="AB108" s="39"/>
    </row>
    <row r="109" spans="2:28" x14ac:dyDescent="0.3">
      <c r="B109" s="4"/>
      <c r="C109" s="4"/>
      <c r="G109" s="10"/>
      <c r="H109" s="5"/>
      <c r="I109" s="43"/>
      <c r="J109" s="5"/>
      <c r="K109" s="5"/>
      <c r="L109" s="4"/>
      <c r="R109" s="13"/>
      <c r="S109" s="13"/>
      <c r="T109" s="13"/>
      <c r="U109" s="13"/>
      <c r="V109" s="13"/>
      <c r="W109" s="13"/>
      <c r="X109" s="13"/>
      <c r="Y109" s="40"/>
      <c r="Z109" s="8"/>
      <c r="AA109" s="39"/>
      <c r="AB109" s="39"/>
    </row>
    <row r="110" spans="2:28" x14ac:dyDescent="0.3">
      <c r="B110" s="4"/>
      <c r="C110" s="4"/>
      <c r="G110" s="10"/>
      <c r="H110" s="5"/>
      <c r="I110" s="43"/>
      <c r="J110" s="5"/>
      <c r="K110" s="5"/>
      <c r="L110" s="4"/>
      <c r="R110" s="13"/>
      <c r="S110" s="13"/>
      <c r="T110" s="13"/>
      <c r="U110" s="13"/>
      <c r="V110" s="13"/>
      <c r="W110" s="13"/>
      <c r="X110" s="13"/>
      <c r="Y110" s="40"/>
      <c r="Z110" s="8"/>
      <c r="AA110" s="39"/>
      <c r="AB110" s="39"/>
    </row>
    <row r="111" spans="2:28" x14ac:dyDescent="0.3">
      <c r="B111" s="4"/>
      <c r="C111" s="4"/>
      <c r="G111" s="10"/>
      <c r="H111" s="5"/>
      <c r="I111" s="43"/>
      <c r="J111" s="5"/>
      <c r="K111" s="5"/>
      <c r="L111" s="4"/>
      <c r="R111" s="13"/>
      <c r="S111" s="13"/>
      <c r="T111" s="13"/>
      <c r="U111" s="13"/>
      <c r="V111" s="13"/>
      <c r="W111" s="13"/>
      <c r="X111" s="13"/>
      <c r="Y111" s="40"/>
      <c r="Z111" s="8"/>
      <c r="AA111" s="39"/>
      <c r="AB111" s="39"/>
    </row>
    <row r="112" spans="2:28" x14ac:dyDescent="0.3">
      <c r="B112" s="4"/>
      <c r="C112" s="4"/>
      <c r="G112" s="10"/>
      <c r="H112" s="5"/>
      <c r="I112" s="43"/>
      <c r="J112" s="5"/>
      <c r="K112" s="5"/>
      <c r="L112" s="4"/>
      <c r="R112" s="13"/>
      <c r="S112" s="13"/>
      <c r="T112" s="13"/>
      <c r="U112" s="13"/>
      <c r="V112" s="13"/>
      <c r="W112" s="13"/>
      <c r="X112" s="13"/>
      <c r="Y112" s="40"/>
      <c r="Z112" s="8"/>
      <c r="AA112" s="39"/>
      <c r="AB112" s="39"/>
    </row>
    <row r="113" spans="2:28" x14ac:dyDescent="0.3">
      <c r="B113" s="4"/>
      <c r="C113" s="4"/>
      <c r="G113" s="10"/>
      <c r="H113" s="5"/>
      <c r="I113" s="43"/>
      <c r="J113" s="5"/>
      <c r="K113" s="5"/>
      <c r="L113" s="4"/>
      <c r="R113" s="13"/>
      <c r="S113" s="13"/>
      <c r="T113" s="13"/>
      <c r="U113" s="13"/>
      <c r="V113" s="13"/>
      <c r="W113" s="13"/>
      <c r="X113" s="13"/>
      <c r="Y113" s="40"/>
      <c r="Z113" s="8"/>
      <c r="AA113" s="39"/>
      <c r="AB113" s="39"/>
    </row>
    <row r="114" spans="2:28" x14ac:dyDescent="0.3">
      <c r="B114" s="4"/>
      <c r="C114" s="4"/>
      <c r="G114" s="10"/>
      <c r="H114" s="5"/>
      <c r="I114" s="43"/>
      <c r="J114" s="5"/>
      <c r="K114" s="5"/>
      <c r="L114" s="4"/>
      <c r="R114" s="13"/>
      <c r="S114" s="13"/>
      <c r="T114" s="13"/>
      <c r="U114" s="13"/>
      <c r="V114" s="13"/>
      <c r="W114" s="13"/>
      <c r="X114" s="13"/>
      <c r="Y114" s="40"/>
      <c r="Z114" s="8"/>
      <c r="AA114" s="39"/>
      <c r="AB114" s="39"/>
    </row>
    <row r="115" spans="2:28" x14ac:dyDescent="0.3">
      <c r="B115" s="4"/>
      <c r="C115" s="4"/>
      <c r="G115" s="10"/>
      <c r="H115" s="5"/>
      <c r="I115" s="43"/>
      <c r="J115" s="5"/>
      <c r="K115" s="5"/>
      <c r="L115" s="4"/>
      <c r="R115" s="13"/>
      <c r="S115" s="13"/>
      <c r="T115" s="13"/>
      <c r="U115" s="13"/>
      <c r="V115" s="13"/>
      <c r="W115" s="13"/>
      <c r="X115" s="13"/>
      <c r="Y115" s="40"/>
      <c r="Z115" s="8"/>
      <c r="AA115" s="39"/>
      <c r="AB115" s="39"/>
    </row>
    <row r="116" spans="2:28" x14ac:dyDescent="0.3">
      <c r="B116" s="4"/>
      <c r="C116" s="4"/>
      <c r="G116" s="10"/>
      <c r="H116" s="5"/>
      <c r="I116" s="43"/>
      <c r="J116" s="5"/>
      <c r="K116" s="5"/>
      <c r="L116" s="4"/>
      <c r="Y116" s="39"/>
      <c r="Z116" s="8"/>
      <c r="AA116" s="39"/>
      <c r="AB116" s="39"/>
    </row>
    <row r="117" spans="2:28" x14ac:dyDescent="0.3">
      <c r="B117" s="4"/>
      <c r="C117" s="4"/>
      <c r="G117" s="10"/>
      <c r="H117" s="5"/>
      <c r="I117" s="43"/>
      <c r="J117" s="5"/>
      <c r="K117" s="5"/>
      <c r="L117" s="4"/>
      <c r="Y117" s="39"/>
      <c r="Z117" s="8"/>
      <c r="AA117" s="39"/>
      <c r="AB117" s="39"/>
    </row>
    <row r="118" spans="2:28" x14ac:dyDescent="0.3">
      <c r="B118" s="4"/>
      <c r="C118" s="4"/>
      <c r="G118" s="10"/>
      <c r="H118" s="5"/>
      <c r="I118" s="43"/>
      <c r="J118" s="5"/>
      <c r="K118" s="5"/>
      <c r="L118" s="4"/>
      <c r="Y118" s="39"/>
      <c r="Z118" s="8"/>
      <c r="AA118" s="39"/>
      <c r="AB118" s="39"/>
    </row>
    <row r="119" spans="2:28" x14ac:dyDescent="0.3">
      <c r="B119" s="4"/>
      <c r="C119" s="4"/>
      <c r="G119" s="10"/>
      <c r="H119" s="5"/>
      <c r="I119" s="43"/>
      <c r="J119" s="5"/>
      <c r="K119" s="5"/>
      <c r="L119" s="4"/>
      <c r="Y119" s="39"/>
      <c r="Z119" s="8"/>
      <c r="AA119" s="39"/>
      <c r="AB119" s="39"/>
    </row>
    <row r="120" spans="2:28" x14ac:dyDescent="0.3">
      <c r="B120" s="4"/>
      <c r="C120" s="4"/>
      <c r="G120" s="10"/>
      <c r="H120" s="5"/>
      <c r="I120" s="43"/>
      <c r="J120" s="5"/>
      <c r="K120" s="5"/>
      <c r="L120" s="4"/>
      <c r="Y120" s="39"/>
      <c r="Z120" s="8"/>
      <c r="AA120" s="39"/>
      <c r="AB120" s="39"/>
    </row>
    <row r="121" spans="2:28" x14ac:dyDescent="0.3">
      <c r="B121" s="4"/>
      <c r="C121" s="4"/>
      <c r="G121" s="10"/>
      <c r="H121" s="5"/>
      <c r="I121" s="43"/>
      <c r="J121" s="5"/>
      <c r="K121" s="5"/>
      <c r="L121" s="4"/>
      <c r="Y121" s="39"/>
      <c r="Z121" s="8"/>
      <c r="AA121" s="39"/>
      <c r="AB121" s="39"/>
    </row>
    <row r="122" spans="2:28" x14ac:dyDescent="0.3">
      <c r="B122" s="4"/>
      <c r="C122" s="4"/>
      <c r="G122" s="10"/>
      <c r="H122" s="5"/>
      <c r="I122" s="43"/>
      <c r="J122" s="5"/>
      <c r="K122" s="5"/>
      <c r="L122" s="4"/>
      <c r="Y122" s="39"/>
      <c r="Z122" s="8"/>
      <c r="AA122" s="39"/>
      <c r="AB122" s="39"/>
    </row>
    <row r="123" spans="2:28" x14ac:dyDescent="0.3">
      <c r="B123" s="4"/>
      <c r="C123" s="4"/>
      <c r="G123" s="10"/>
      <c r="H123" s="5"/>
      <c r="I123" s="43"/>
      <c r="J123" s="5"/>
      <c r="K123" s="5"/>
      <c r="L123" s="4"/>
      <c r="Y123" s="39"/>
      <c r="Z123" s="8"/>
      <c r="AA123" s="39"/>
      <c r="AB123" s="39"/>
    </row>
    <row r="124" spans="2:28" x14ac:dyDescent="0.3">
      <c r="B124" s="4"/>
      <c r="C124" s="4"/>
      <c r="G124" s="10"/>
      <c r="H124" s="5"/>
      <c r="I124" s="43"/>
      <c r="J124" s="5"/>
      <c r="K124" s="5"/>
      <c r="L124" s="4"/>
      <c r="Y124" s="39"/>
      <c r="Z124" s="8"/>
      <c r="AA124" s="39"/>
      <c r="AB124" s="39"/>
    </row>
    <row r="125" spans="2:28" x14ac:dyDescent="0.3">
      <c r="B125" s="4"/>
      <c r="C125" s="4"/>
      <c r="G125" s="10"/>
      <c r="H125" s="5"/>
      <c r="I125" s="43"/>
      <c r="J125" s="5"/>
      <c r="K125" s="5"/>
      <c r="L125" s="4"/>
      <c r="Y125" s="39"/>
      <c r="Z125" s="8"/>
      <c r="AA125" s="39"/>
      <c r="AB125" s="39"/>
    </row>
    <row r="126" spans="2:28" x14ac:dyDescent="0.3">
      <c r="B126" s="4"/>
      <c r="C126" s="4"/>
      <c r="G126" s="10"/>
      <c r="H126" s="5"/>
      <c r="I126" s="43"/>
      <c r="J126" s="5"/>
      <c r="K126" s="5"/>
      <c r="L126" s="4"/>
      <c r="Y126" s="39"/>
      <c r="Z126" s="8"/>
      <c r="AA126" s="39"/>
      <c r="AB126" s="39"/>
    </row>
    <row r="127" spans="2:28" x14ac:dyDescent="0.3">
      <c r="B127" s="4"/>
      <c r="C127" s="4"/>
      <c r="G127" s="10"/>
      <c r="H127" s="5"/>
      <c r="I127" s="43"/>
      <c r="J127" s="5"/>
      <c r="K127" s="5"/>
      <c r="L127" s="4"/>
      <c r="Y127" s="39"/>
      <c r="Z127" s="8"/>
      <c r="AA127" s="39"/>
      <c r="AB127" s="3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Calendar Log</vt:lpstr>
      <vt:lpstr>Weekly Calendar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Stori</dc:creator>
  <cp:lastModifiedBy>Matteo Stori</cp:lastModifiedBy>
  <dcterms:created xsi:type="dcterms:W3CDTF">2025-01-03T16:53:01Z</dcterms:created>
  <dcterms:modified xsi:type="dcterms:W3CDTF">2026-01-06T17:02:10Z</dcterms:modified>
</cp:coreProperties>
</file>